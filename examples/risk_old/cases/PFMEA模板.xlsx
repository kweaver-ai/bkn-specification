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45" windowHeight="12465" activeTab="5"/>
  </bookViews>
  <sheets>
    <sheet name="模板说明" sheetId="14" r:id="rId1"/>
    <sheet name="问题统计表" sheetId="16" r:id="rId2"/>
    <sheet name="定时备份" sheetId="1" r:id="rId3"/>
    <sheet name="实时&amp;容灾" sheetId="9" r:id="rId4"/>
    <sheet name="云备份" sheetId="10" r:id="rId5"/>
    <sheet name="磁带备份" sheetId="12" r:id="rId6"/>
    <sheet name="公共管理类" sheetId="17" r:id="rId7"/>
    <sheet name="其他" sheetId="15" r:id="rId8"/>
    <sheet name="Sheet2" sheetId="18" r:id="rId9"/>
  </sheets>
  <definedNames>
    <definedName name="_xlnm._FilterDatabase" localSheetId="7" hidden="1">其他!$A$1:$R$4</definedName>
    <definedName name="_xlnm._FilterDatabase" localSheetId="2" hidden="1">定时备份!$A$1:$L$14</definedName>
    <definedName name="_xlnm._FilterDatabase" localSheetId="1" hidden="1">问题统计表!$A$2:$Q$5</definedName>
    <definedName name="_xlnm._FilterDatabase" localSheetId="3" hidden="1">'实时&amp;容灾'!$A$1:$L$2</definedName>
    <definedName name="_xlnm._FilterDatabase" localSheetId="4" hidden="1">云备份!$A$1:$J$2</definedName>
    <definedName name="_xlnm._FilterDatabase" localSheetId="5" hidden="1">磁带备份!$A$1:$L$2</definedName>
  </definedNames>
  <calcPr calcId="144525" concurrentCalc="0"/>
</workbook>
</file>

<file path=xl/sharedStrings.xml><?xml version="1.0" encoding="utf-8"?>
<sst xmlns="http://schemas.openxmlformats.org/spreadsheetml/2006/main" count="148">
  <si>
    <r>
      <rPr>
        <sz val="11"/>
        <color theme="1"/>
        <rFont val="微软雅黑"/>
        <charset val="134"/>
      </rPr>
      <t xml:space="preserve">一、本模板共3页，其中定时备份页包含所有定时备份模块的风险梳理结果，实时&amp;容灾页包含所有实时及容灾模块的风险梳理结果，其他所有模块的风险梳理结果写入“其他”页。
二、产品风险评估原则如下：
1、不能造成用户环境被破坏.
2、不能让自己崩溃掉。
3、备份数据不能出问题，保证有备份数据且备份数据一定是可用的、正确的。
4、备份数据有问题，一定要能自己检测出来，并及时通知相关的人。
三、严重程度的判断标准:
</t>
    </r>
    <r>
      <rPr>
        <sz val="11"/>
        <color rgb="FFFF0000"/>
        <rFont val="微软雅黑"/>
        <charset val="134"/>
      </rPr>
      <t xml:space="preserve">致命：导致用户的生产服务器宕机、数据丢失、业务中断的问题。（7分-9分）
高：备份失败、备份数据不能恢复、备份系统崩溃、对生产主机产生严重性能影响的问题（CPU或内存占用率超过60%）、备份数据恢复到原机原位置。（4分-6分）
中：其他问题 （1分-3分）
</t>
    </r>
    <r>
      <rPr>
        <sz val="11"/>
        <rFont val="微软雅黑"/>
        <charset val="134"/>
      </rPr>
      <t>四、故障频率
高：经常发生的故障</t>
    </r>
    <r>
      <rPr>
        <sz val="11"/>
        <color rgb="FFFF0000"/>
        <rFont val="微软雅黑"/>
        <charset val="134"/>
      </rPr>
      <t>（7分-9分）</t>
    </r>
    <r>
      <rPr>
        <sz val="11"/>
        <rFont val="微软雅黑"/>
        <charset val="134"/>
      </rPr>
      <t xml:space="preserve">
中：偶尔发生的故障</t>
    </r>
    <r>
      <rPr>
        <sz val="11"/>
        <color rgb="FFFF0000"/>
        <rFont val="微软雅黑"/>
        <charset val="134"/>
      </rPr>
      <t>（4分-6分）</t>
    </r>
    <r>
      <rPr>
        <sz val="11"/>
        <rFont val="微软雅黑"/>
        <charset val="134"/>
      </rPr>
      <t xml:space="preserve">
低：很少发生的故障</t>
    </r>
    <r>
      <rPr>
        <sz val="11"/>
        <color rgb="FFFF0000"/>
        <rFont val="微软雅黑"/>
        <charset val="134"/>
      </rPr>
      <t>（1分-3分）</t>
    </r>
    <r>
      <rPr>
        <sz val="11"/>
        <rFont val="微软雅黑"/>
        <charset val="134"/>
      </rPr>
      <t xml:space="preserve">
五、故障检测难度
高：现有过程控制方法检测出故障的可能性非常低</t>
    </r>
    <r>
      <rPr>
        <sz val="11"/>
        <color rgb="FFFF0000"/>
        <rFont val="微软雅黑"/>
        <charset val="134"/>
      </rPr>
      <t>（7分-9分）</t>
    </r>
    <r>
      <rPr>
        <sz val="11"/>
        <rFont val="微软雅黑"/>
        <charset val="134"/>
      </rPr>
      <t xml:space="preserve">
中：现有过程控制方法检测出故障的可能性中等</t>
    </r>
    <r>
      <rPr>
        <sz val="11"/>
        <color rgb="FFFF0000"/>
        <rFont val="微软雅黑"/>
        <charset val="134"/>
      </rPr>
      <t>（4分-6分）</t>
    </r>
    <r>
      <rPr>
        <sz val="11"/>
        <rFont val="微软雅黑"/>
        <charset val="134"/>
      </rPr>
      <t xml:space="preserve">
低：现有过程控制方法检测出故障的可能性很高</t>
    </r>
    <r>
      <rPr>
        <sz val="11"/>
        <color rgb="FFFF0000"/>
        <rFont val="微软雅黑"/>
        <charset val="134"/>
      </rPr>
      <t>（1分-3分）</t>
    </r>
    <r>
      <rPr>
        <sz val="11"/>
        <rFont val="微软雅黑"/>
        <charset val="134"/>
      </rPr>
      <t xml:space="preserve">
六、风险检查点来源于日常测试及用户问题处理的反馈。风险模式库不定期进行更新。</t>
    </r>
  </si>
  <si>
    <t>问题统计表</t>
  </si>
  <si>
    <t>分类</t>
  </si>
  <si>
    <t>需求分析</t>
  </si>
  <si>
    <t>产品设计</t>
  </si>
  <si>
    <t>编码</t>
  </si>
  <si>
    <t>测试设计</t>
  </si>
  <si>
    <t>测试执行</t>
  </si>
  <si>
    <t>需求交付</t>
  </si>
  <si>
    <t>文档撰写</t>
  </si>
  <si>
    <t>产品发布</t>
  </si>
  <si>
    <t>总数</t>
  </si>
  <si>
    <t>已改进数</t>
  </si>
  <si>
    <t>已改进</t>
  </si>
  <si>
    <t>定时</t>
  </si>
  <si>
    <t>实时&amp;容灾</t>
  </si>
  <si>
    <t>云备份</t>
  </si>
  <si>
    <t>磁带备份</t>
  </si>
  <si>
    <t>其他</t>
  </si>
  <si>
    <t>合计</t>
  </si>
  <si>
    <t>模块</t>
  </si>
  <si>
    <t>风险检查点/潜在问题</t>
  </si>
  <si>
    <t>潜在失效模式</t>
  </si>
  <si>
    <t>问题环节</t>
  </si>
  <si>
    <t>现有控制</t>
  </si>
  <si>
    <t>严重程度</t>
  </si>
  <si>
    <t>出现频率</t>
  </si>
  <si>
    <t>易探测度</t>
  </si>
  <si>
    <t>RPN</t>
  </si>
  <si>
    <t>改善措施</t>
  </si>
  <si>
    <t>负责人</t>
  </si>
  <si>
    <t>部门</t>
  </si>
  <si>
    <t>出现概率</t>
  </si>
  <si>
    <t>RPN（改进后）</t>
  </si>
  <si>
    <t>改进版本</t>
  </si>
  <si>
    <t>Hadoop</t>
  </si>
  <si>
    <t>业务系统正常时，数据恢复动作(包含自动恢复)</t>
  </si>
  <si>
    <t>对生产服务器的影响</t>
  </si>
  <si>
    <t>自动恢复最佳实践中增加说明自动恢复设置风险说明。</t>
  </si>
  <si>
    <t xml:space="preserve">
恢复界面增加对于恢复风险提示说明。</t>
  </si>
  <si>
    <t>周聪</t>
  </si>
  <si>
    <t>CDM</t>
  </si>
  <si>
    <t>公共</t>
  </si>
  <si>
    <t>【非法操作】用户手动清理了虚拟机上AnyBackup备份保留的快照，会导致此虚拟机下次增量备份的时候转成完全备份。如果在备份过程中清理，则会导致虚拟机备份失败。</t>
  </si>
  <si>
    <t>备份失败</t>
  </si>
  <si>
    <t>无</t>
  </si>
  <si>
    <t>加入最佳实践</t>
  </si>
  <si>
    <t>钱红江</t>
  </si>
  <si>
    <t>CDC</t>
  </si>
  <si>
    <t>AB 6.0.27</t>
  </si>
  <si>
    <t>CAS</t>
  </si>
  <si>
    <t>CAS 定时备份cache限制为2GB，超过大小会自动kill掉进程</t>
  </si>
  <si>
    <t>优化当前处理措施，不能kill进程，确保任务正常执行</t>
  </si>
  <si>
    <t>AB 6.0.28</t>
  </si>
  <si>
    <t>CAS虚拟机漂移导致数据源紊乱</t>
  </si>
  <si>
    <t>对虚拟机漂移的场景进行处理，确保数据源不紊乱</t>
  </si>
  <si>
    <t>LANFREE</t>
  </si>
  <si>
    <t>lanfree挂载失败</t>
  </si>
  <si>
    <t>整体优化lanfree模块</t>
  </si>
  <si>
    <t>王瀚</t>
  </si>
  <si>
    <t>JC</t>
  </si>
  <si>
    <t>VM</t>
  </si>
  <si>
    <t>虚拟机名称中存在@字符无法备份，但是用户的所有虚拟机命名中均存在@字符</t>
  </si>
  <si>
    <t>无法备份</t>
  </si>
  <si>
    <t>针对用户进行特殊处理，通过vc克隆虚拟机，重命名的方式，去掉虚拟机名称和磁盘名称中的@字符。再进行备份恢复。</t>
  </si>
  <si>
    <t>支持@字符命名的虚拟机</t>
  </si>
  <si>
    <t>集群下存在大量虚拟机（680台），CVM压力较大，在控制台创建任务查找数据源时超时，无法创建任务</t>
  </si>
  <si>
    <t>无法创建任务</t>
  </si>
  <si>
    <t>扩大虚拟机的支持数量</t>
  </si>
  <si>
    <t>EOSS</t>
  </si>
  <si>
    <t>EOSS性能存在瓶颈</t>
  </si>
  <si>
    <t>性能差</t>
  </si>
  <si>
    <t>对EOSS性能进行优化</t>
  </si>
  <si>
    <t>AB 7.0.5</t>
  </si>
  <si>
    <t>OpenStack</t>
  </si>
  <si>
    <t>OpenStack 常规备份场景下，需要在Cinder节点上部署AnyBackupCinderClient，会在Cinder配置文件中修改cinder-backup部分，会与导致其他备份软件有冲突。</t>
  </si>
  <si>
    <t>加入风险声明文档</t>
  </si>
  <si>
    <t>OpenStack 备份使用的是云硬盘快照，当存在多个磁盘时，依次给每个云硬盘执行快照，打快照时间有细微的差别，当存在一个应用程序同时往多个云硬盘中频繁写数据时，且数据之间是相互关联的，可能会导致少量的数据丢失。</t>
  </si>
  <si>
    <t xml:space="preserve">VMware </t>
  </si>
  <si>
    <t>VMware 当虚拟机存在大量快照盘且两次连续备份期间数据量变化过大，备份完成删除快照时，可能出现VMware快照删除缓慢，可能会导致生产机一小段时间不可用。</t>
  </si>
  <si>
    <t>VMware 备份大容量虚拟机时，未判断存储剩余空间，备份期间若生产机变化数据过大，可能导致虚拟机所在存储空间不足，进而生产机不可用。</t>
  </si>
  <si>
    <t>AnyShare</t>
  </si>
  <si>
    <t>AnyShare 备份过程中若AnyShare删除了部分数据，存在数据和一开始获取的元数据不一致的情况，实际被删除的数据未备份，恢复的时候无法恢复。</t>
  </si>
  <si>
    <t>无法恢复</t>
  </si>
  <si>
    <t>刘荣伟</t>
  </si>
  <si>
    <t>TDC</t>
  </si>
  <si>
    <t>实时</t>
  </si>
  <si>
    <t>将备份数据恢复到重名的文件或目录下，会覆盖数据</t>
  </si>
  <si>
    <t>数据覆盖</t>
  </si>
  <si>
    <t>添加最佳实践</t>
  </si>
  <si>
    <t>吴海霞</t>
  </si>
  <si>
    <t>D2C</t>
  </si>
  <si>
    <t>由于不支持断点续传，网络不稳定会导致任务备份失败，已备份数据需要重新发起备份</t>
  </si>
  <si>
    <t>易用性差</t>
  </si>
  <si>
    <t>最佳实践已更新（李明）添加内容：对于数据量较大、网络环境不稳定的情况下，建议使用D2D2C的方式进行备份</t>
  </si>
  <si>
    <t xml:space="preserve">
增加断点续传功能</t>
  </si>
  <si>
    <t>周丹婷</t>
  </si>
  <si>
    <t>ABC</t>
  </si>
  <si>
    <t>D2D2C</t>
  </si>
  <si>
    <t>某bucket中某介质服务器下的D2D2C任务最多只能存在100个，多余无法显示。</t>
  </si>
  <si>
    <t>加入限制性文档</t>
  </si>
  <si>
    <t>对任务数进行扩展支持</t>
  </si>
  <si>
    <t>谭小晴</t>
  </si>
  <si>
    <t>某bucket中某介质服务器下的D2C任务最多只能存在200个，多余无法显示。</t>
  </si>
  <si>
    <t>云上恢复</t>
  </si>
  <si>
    <t>不支持同时执行多个数据源来源于同一云备份任务--定时任务的云上恢复任务</t>
  </si>
  <si>
    <t>进行支持</t>
  </si>
  <si>
    <t>D2T</t>
  </si>
  <si>
    <t>DB2备份至磁带未将root用户添加至db2iadm、dasadm用户组</t>
  </si>
  <si>
    <t xml:space="preserve">
2.产品界面上进行提示说明。
3.未将root用户添加至db2iadm、dasadm用户组，不允许备份</t>
  </si>
  <si>
    <t>D2D2T/D2T</t>
  </si>
  <si>
    <t>磁带序列号中有+号时无法识别磁带</t>
  </si>
  <si>
    <t>磁带无法识别</t>
  </si>
  <si>
    <t>代码改进：增加对磁带序列号中有+的磁带的识别</t>
  </si>
  <si>
    <t>ols.db占用过大时，会撑满系统盘</t>
  </si>
  <si>
    <t>系统盘空间满</t>
  </si>
  <si>
    <t>最佳实践中说明ols.db指定路径存放的方法</t>
  </si>
  <si>
    <t>自备份不对ols.db进行备份，自备份还原后数据无法恢复</t>
  </si>
  <si>
    <t>数据无法恢复</t>
  </si>
  <si>
    <t>需求</t>
  </si>
  <si>
    <t xml:space="preserve">2. 自备份不对ols.db进行备份的风险播报。---已完成
3. AB6.0.28版本自备份功能增加对ols.db支持。---王瀚、周聪，1月份（AB6.0.28）完成
4. 开发重建索引工具，以防后期客户需要，通过重建索引工具帮助客户进行原介质集1及2中的历史归档数据恢复。---秦睿东，Q1处理完
</t>
  </si>
  <si>
    <t>磁带恢复查找驱动器串行，性能慢</t>
  </si>
  <si>
    <t>改为并行查找</t>
  </si>
  <si>
    <t>吴植民</t>
  </si>
  <si>
    <t>方案兼容性列表中缺少D2D2R2T的兼容性情况说明，造成实施不明确</t>
  </si>
  <si>
    <t>实施不明确</t>
  </si>
  <si>
    <t>方案兼容性列表中补充说明</t>
  </si>
  <si>
    <t>磁带类方案兼容性列表中写了未测试的磁带环境，造成实施不明确</t>
  </si>
  <si>
    <t>去掉理论上支持但未经过测试的环境描述</t>
  </si>
  <si>
    <t>客户端安装卸载</t>
  </si>
  <si>
    <t>客户端安装卸载最佳实践中没有明确各种操作系统应该选择安装哪种类型的客户端包，造成实施不明确</t>
  </si>
  <si>
    <t>客户端安装卸载最佳实践中加上对各种操作系统应该选择安装哪种类型的客户端包的相关说明</t>
  </si>
  <si>
    <t>自备份</t>
  </si>
  <si>
    <t>自备份最佳实践中没有明确对磁带归档、ols.db是否支持，导致技术人员误操作</t>
  </si>
  <si>
    <t>操作不规范</t>
  </si>
  <si>
    <t>自备份最佳实践中进行补充说明</t>
  </si>
  <si>
    <t>类别</t>
  </si>
  <si>
    <t>生产指导</t>
  </si>
  <si>
    <t>最新版本的infoworks系统引导镜像无法引导宝德设备安装</t>
  </si>
  <si>
    <t>系统无法生产</t>
  </si>
  <si>
    <t>针对宝德设备更新发布专门的引导镜像</t>
  </si>
  <si>
    <t>没有专门基于华为的生产指导文档及硬件兼容性列表，造成实施不明确</t>
  </si>
  <si>
    <t>对外提供专门针对华为的生产指导文档及硬件兼容性列表</t>
  </si>
  <si>
    <t>郑书清</t>
  </si>
  <si>
    <t>测试一部</t>
  </si>
  <si>
    <t>linux+rh5/rh7软件包部署方案更换成Infoworks+redhat5
在自备份和自备份还原过程中数据出现错误</t>
  </si>
  <si>
    <t>升级失败</t>
  </si>
  <si>
    <t>对外提供规避方案</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</si>
</sst>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35">
    <font>
      <sz val="11"/>
      <color theme="1"/>
      <name val="宋体"/>
      <charset val="134"/>
      <scheme val="minor"/>
    </font>
    <font>
      <b/>
      <sz val="10"/>
      <color theme="1"/>
      <name val="微软雅黑"/>
      <charset val="134"/>
    </font>
    <font>
      <b/>
      <sz val="10"/>
      <color theme="0"/>
      <name val="微软雅黑"/>
      <charset val="134"/>
    </font>
    <font>
      <b/>
      <sz val="10"/>
      <color rgb="FFFF0000"/>
      <name val="微软雅黑"/>
      <charset val="134"/>
    </font>
    <font>
      <sz val="10"/>
      <color theme="1"/>
      <name val="微软雅黑"/>
      <charset val="134"/>
    </font>
    <font>
      <sz val="10"/>
      <color rgb="FFFF0000"/>
      <name val="微软雅黑"/>
      <charset val="134"/>
    </font>
    <font>
      <sz val="10"/>
      <color theme="0"/>
      <name val="微软雅黑"/>
      <charset val="134"/>
    </font>
    <font>
      <sz val="11"/>
      <color rgb="FFFF0000"/>
      <name val="宋体"/>
      <charset val="134"/>
      <scheme val="minor"/>
    </font>
    <font>
      <sz val="11"/>
      <name val="宋体"/>
      <charset val="134"/>
      <scheme val="minor"/>
    </font>
    <font>
      <sz val="10"/>
      <name val="微软雅黑"/>
      <charset val="134"/>
    </font>
    <font>
      <sz val="10"/>
      <color theme="1"/>
      <name val="宋体"/>
      <charset val="134"/>
      <scheme val="minor"/>
    </font>
    <font>
      <b/>
      <sz val="12"/>
      <color theme="1"/>
      <name val="微软雅黑"/>
      <charset val="134"/>
    </font>
    <font>
      <sz val="11"/>
      <color rgb="FFFF0000"/>
      <name val="微软雅黑"/>
      <charset val="134"/>
    </font>
    <font>
      <b/>
      <sz val="12"/>
      <color rgb="FFFF0000"/>
      <name val="微软雅黑"/>
      <charset val="134"/>
    </font>
    <font>
      <sz val="11"/>
      <color theme="1"/>
      <name val="微软雅黑"/>
      <charset val="134"/>
    </font>
    <font>
      <i/>
      <sz val="11"/>
      <color rgb="FF7F7F7F"/>
      <name val="宋体"/>
      <charset val="0"/>
      <scheme val="minor"/>
    </font>
    <font>
      <sz val="11"/>
      <color theme="0"/>
      <name val="宋体"/>
      <charset val="0"/>
      <scheme val="minor"/>
    </font>
    <font>
      <sz val="11"/>
      <color rgb="FF9C0006"/>
      <name val="宋体"/>
      <charset val="0"/>
      <scheme val="minor"/>
    </font>
    <font>
      <sz val="11"/>
      <color rgb="FF006100"/>
      <name val="宋体"/>
      <charset val="0"/>
      <scheme val="minor"/>
    </font>
    <font>
      <b/>
      <sz val="18"/>
      <color theme="3"/>
      <name val="宋体"/>
      <charset val="134"/>
      <scheme val="minor"/>
    </font>
    <font>
      <sz val="11"/>
      <color theme="1"/>
      <name val="宋体"/>
      <charset val="0"/>
      <scheme val="minor"/>
    </font>
    <font>
      <sz val="11"/>
      <color rgb="FFFA7D00"/>
      <name val="宋体"/>
      <charset val="0"/>
      <scheme val="minor"/>
    </font>
    <font>
      <sz val="11"/>
      <color rgb="FF3F3F76"/>
      <name val="宋体"/>
      <charset val="0"/>
      <scheme val="minor"/>
    </font>
    <font>
      <b/>
      <sz val="11"/>
      <color theme="1"/>
      <name val="宋体"/>
      <charset val="0"/>
      <scheme val="minor"/>
    </font>
    <font>
      <b/>
      <sz val="11"/>
      <color rgb="FF3F3F3F"/>
      <name val="宋体"/>
      <charset val="0"/>
      <scheme val="minor"/>
    </font>
    <font>
      <sz val="11"/>
      <color rgb="FFFF0000"/>
      <name val="宋体"/>
      <charset val="0"/>
      <scheme val="minor"/>
    </font>
    <font>
      <b/>
      <sz val="11"/>
      <color rgb="FFFA7D00"/>
      <name val="宋体"/>
      <charset val="0"/>
      <scheme val="minor"/>
    </font>
    <font>
      <b/>
      <sz val="11"/>
      <color theme="3"/>
      <name val="宋体"/>
      <charset val="134"/>
      <scheme val="minor"/>
    </font>
    <font>
      <u/>
      <sz val="11"/>
      <color rgb="FF0000FF"/>
      <name val="宋体"/>
      <charset val="0"/>
      <scheme val="minor"/>
    </font>
    <font>
      <b/>
      <sz val="11"/>
      <color rgb="FFFFFFFF"/>
      <name val="宋体"/>
      <charset val="0"/>
      <scheme val="minor"/>
    </font>
    <font>
      <u/>
      <sz val="11"/>
      <color rgb="FF800080"/>
      <name val="宋体"/>
      <charset val="0"/>
      <scheme val="minor"/>
    </font>
    <font>
      <sz val="11"/>
      <color rgb="FF9C6500"/>
      <name val="宋体"/>
      <charset val="0"/>
      <scheme val="minor"/>
    </font>
    <font>
      <b/>
      <sz val="15"/>
      <color theme="3"/>
      <name val="宋体"/>
      <charset val="134"/>
      <scheme val="minor"/>
    </font>
    <font>
      <b/>
      <sz val="13"/>
      <color theme="3"/>
      <name val="宋体"/>
      <charset val="134"/>
      <scheme val="minor"/>
    </font>
    <font>
      <sz val="11"/>
      <name val="微软雅黑"/>
      <charset val="134"/>
    </font>
  </fonts>
  <fills count="39">
    <fill>
      <patternFill patternType="none"/>
    </fill>
    <fill>
      <patternFill patternType="gray125"/>
    </fill>
    <fill>
      <patternFill patternType="solid">
        <fgColor theme="3" tint="0.399822992645039"/>
        <bgColor indexed="64"/>
      </patternFill>
    </fill>
    <fill>
      <patternFill patternType="solid">
        <fgColor theme="3" tint="0.399639881588183"/>
        <bgColor indexed="64"/>
      </patternFill>
    </fill>
    <fill>
      <patternFill patternType="solid">
        <fgColor theme="3" tint="0.399609363078707"/>
        <bgColor indexed="64"/>
      </patternFill>
    </fill>
    <fill>
      <patternFill patternType="solid">
        <fgColor theme="3" tint="0.399670400097659"/>
        <bgColor indexed="64"/>
      </patternFill>
    </fill>
    <fill>
      <patternFill patternType="solid">
        <fgColor theme="8" tint="0.4"/>
        <bgColor indexed="64"/>
      </patternFill>
    </fill>
    <fill>
      <patternFill patternType="solid">
        <fgColor theme="8" tint="0.6"/>
        <bgColor indexed="64"/>
      </patternFill>
    </fill>
    <fill>
      <patternFill patternType="solid">
        <fgColor theme="6" tint="0.399975585192419"/>
        <bgColor indexed="64"/>
      </patternFill>
    </fill>
    <fill>
      <patternFill patternType="solid">
        <fgColor rgb="FFFFC7CE"/>
        <bgColor indexed="64"/>
      </patternFill>
    </fill>
    <fill>
      <patternFill patternType="solid">
        <fgColor rgb="FFC6EFCE"/>
        <bgColor indexed="64"/>
      </patternFill>
    </fill>
    <fill>
      <patternFill patternType="solid">
        <fgColor theme="6" tint="0.599993896298105"/>
        <bgColor indexed="64"/>
      </patternFill>
    </fill>
    <fill>
      <patternFill patternType="solid">
        <fgColor theme="8"/>
        <bgColor indexed="64"/>
      </patternFill>
    </fill>
    <fill>
      <patternFill patternType="solid">
        <fgColor theme="6"/>
        <bgColor indexed="64"/>
      </patternFill>
    </fill>
    <fill>
      <patternFill patternType="solid">
        <fgColor theme="4" tint="0.399975585192419"/>
        <bgColor indexed="64"/>
      </patternFill>
    </fill>
    <fill>
      <patternFill patternType="solid">
        <fgColor rgb="FFFFFFCC"/>
        <bgColor indexed="64"/>
      </patternFill>
    </fill>
    <fill>
      <patternFill patternType="solid">
        <fgColor rgb="FFFFCC99"/>
        <bgColor indexed="64"/>
      </patternFill>
    </fill>
    <fill>
      <patternFill patternType="solid">
        <fgColor theme="5"/>
        <bgColor indexed="64"/>
      </patternFill>
    </fill>
    <fill>
      <patternFill patternType="solid">
        <fgColor rgb="FFF2F2F2"/>
        <bgColor indexed="64"/>
      </patternFill>
    </fill>
    <fill>
      <patternFill patternType="solid">
        <fgColor theme="6" tint="0.799981688894314"/>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rgb="FFA5A5A5"/>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7"/>
        <bgColor indexed="64"/>
      </patternFill>
    </fill>
    <fill>
      <patternFill patternType="solid">
        <fgColor rgb="FFFFEB9C"/>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s>
  <cellStyleXfs count="49">
    <xf numFmtId="0" fontId="0" fillId="0" borderId="0"/>
    <xf numFmtId="42" fontId="0" fillId="0" borderId="0" applyFont="0" applyFill="0" applyBorder="0" applyAlignment="0" applyProtection="0">
      <alignment vertical="center"/>
    </xf>
    <xf numFmtId="0" fontId="20" fillId="19" borderId="0" applyNumberFormat="0" applyBorder="0" applyAlignment="0" applyProtection="0">
      <alignment vertical="center"/>
    </xf>
    <xf numFmtId="0" fontId="22" fillId="16" borderId="9"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0" fillId="11" borderId="0" applyNumberFormat="0" applyBorder="0" applyAlignment="0" applyProtection="0">
      <alignment vertical="center"/>
    </xf>
    <xf numFmtId="0" fontId="17" fillId="9" borderId="0" applyNumberFormat="0" applyBorder="0" applyAlignment="0" applyProtection="0">
      <alignment vertical="center"/>
    </xf>
    <xf numFmtId="43" fontId="0" fillId="0" borderId="0" applyFont="0" applyFill="0" applyBorder="0" applyAlignment="0" applyProtection="0">
      <alignment vertical="center"/>
    </xf>
    <xf numFmtId="0" fontId="16" fillId="8" borderId="0" applyNumberFormat="0" applyBorder="0" applyAlignment="0" applyProtection="0">
      <alignment vertical="center"/>
    </xf>
    <xf numFmtId="0" fontId="28" fillId="0" borderId="0" applyNumberFormat="0" applyFill="0" applyBorder="0" applyAlignment="0" applyProtection="0">
      <alignment vertical="center"/>
    </xf>
    <xf numFmtId="9" fontId="0" fillId="0" borderId="0" applyFont="0" applyFill="0" applyBorder="0" applyAlignment="0" applyProtection="0">
      <alignment vertical="center"/>
    </xf>
    <xf numFmtId="0" fontId="30" fillId="0" borderId="0" applyNumberFormat="0" applyFill="0" applyBorder="0" applyAlignment="0" applyProtection="0">
      <alignment vertical="center"/>
    </xf>
    <xf numFmtId="0" fontId="0" fillId="15" borderId="8" applyNumberFormat="0" applyFont="0" applyAlignment="0" applyProtection="0">
      <alignment vertical="center"/>
    </xf>
    <xf numFmtId="0" fontId="16" fillId="26" borderId="0" applyNumberFormat="0" applyBorder="0" applyAlignment="0" applyProtection="0">
      <alignment vertical="center"/>
    </xf>
    <xf numFmtId="0" fontId="27"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32" fillId="0" borderId="14" applyNumberFormat="0" applyFill="0" applyAlignment="0" applyProtection="0">
      <alignment vertical="center"/>
    </xf>
    <xf numFmtId="0" fontId="33" fillId="0" borderId="14" applyNumberFormat="0" applyFill="0" applyAlignment="0" applyProtection="0">
      <alignment vertical="center"/>
    </xf>
    <xf numFmtId="0" fontId="16" fillId="14" borderId="0" applyNumberFormat="0" applyBorder="0" applyAlignment="0" applyProtection="0">
      <alignment vertical="center"/>
    </xf>
    <xf numFmtId="0" fontId="27" fillId="0" borderId="12" applyNumberFormat="0" applyFill="0" applyAlignment="0" applyProtection="0">
      <alignment vertical="center"/>
    </xf>
    <xf numFmtId="0" fontId="16" fillId="25" borderId="0" applyNumberFormat="0" applyBorder="0" applyAlignment="0" applyProtection="0">
      <alignment vertical="center"/>
    </xf>
    <xf numFmtId="0" fontId="24" fillId="18" borderId="11" applyNumberFormat="0" applyAlignment="0" applyProtection="0">
      <alignment vertical="center"/>
    </xf>
    <xf numFmtId="0" fontId="26" fillId="18" borderId="9" applyNumberFormat="0" applyAlignment="0" applyProtection="0">
      <alignment vertical="center"/>
    </xf>
    <xf numFmtId="0" fontId="29" fillId="24" borderId="13" applyNumberFormat="0" applyAlignment="0" applyProtection="0">
      <alignment vertical="center"/>
    </xf>
    <xf numFmtId="0" fontId="20" fillId="32" borderId="0" applyNumberFormat="0" applyBorder="0" applyAlignment="0" applyProtection="0">
      <alignment vertical="center"/>
    </xf>
    <xf numFmtId="0" fontId="16" fillId="17" borderId="0" applyNumberFormat="0" applyBorder="0" applyAlignment="0" applyProtection="0">
      <alignment vertical="center"/>
    </xf>
    <xf numFmtId="0" fontId="21" fillId="0" borderId="7" applyNumberFormat="0" applyFill="0" applyAlignment="0" applyProtection="0">
      <alignment vertical="center"/>
    </xf>
    <xf numFmtId="0" fontId="23" fillId="0" borderId="10" applyNumberFormat="0" applyFill="0" applyAlignment="0" applyProtection="0">
      <alignment vertical="center"/>
    </xf>
    <xf numFmtId="0" fontId="18" fillId="10" borderId="0" applyNumberFormat="0" applyBorder="0" applyAlignment="0" applyProtection="0">
      <alignment vertical="center"/>
    </xf>
    <xf numFmtId="0" fontId="31" fillId="28" borderId="0" applyNumberFormat="0" applyBorder="0" applyAlignment="0" applyProtection="0">
      <alignment vertical="center"/>
    </xf>
    <xf numFmtId="0" fontId="20" fillId="33" borderId="0" applyNumberFormat="0" applyBorder="0" applyAlignment="0" applyProtection="0">
      <alignment vertical="center"/>
    </xf>
    <xf numFmtId="0" fontId="16" fillId="3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0" fillId="30" borderId="0" applyNumberFormat="0" applyBorder="0" applyAlignment="0" applyProtection="0">
      <alignment vertical="center"/>
    </xf>
    <xf numFmtId="0" fontId="20" fillId="21" borderId="0" applyNumberFormat="0" applyBorder="0" applyAlignment="0" applyProtection="0">
      <alignment vertical="center"/>
    </xf>
    <xf numFmtId="0" fontId="16" fillId="13" borderId="0" applyNumberFormat="0" applyBorder="0" applyAlignment="0" applyProtection="0">
      <alignment vertical="center"/>
    </xf>
    <xf numFmtId="0" fontId="16" fillId="27" borderId="0" applyNumberFormat="0" applyBorder="0" applyAlignment="0" applyProtection="0">
      <alignment vertical="center"/>
    </xf>
    <xf numFmtId="0" fontId="20" fillId="29" borderId="0" applyNumberFormat="0" applyBorder="0" applyAlignment="0" applyProtection="0">
      <alignment vertical="center"/>
    </xf>
    <xf numFmtId="0" fontId="20" fillId="20" borderId="0" applyNumberFormat="0" applyBorder="0" applyAlignment="0" applyProtection="0">
      <alignment vertical="center"/>
    </xf>
    <xf numFmtId="0" fontId="16" fillId="12" borderId="0" applyNumberFormat="0" applyBorder="0" applyAlignment="0" applyProtection="0">
      <alignment vertical="center"/>
    </xf>
    <xf numFmtId="0" fontId="20" fillId="34" borderId="0" applyNumberFormat="0" applyBorder="0" applyAlignment="0" applyProtection="0">
      <alignment vertical="center"/>
    </xf>
    <xf numFmtId="0" fontId="16" fillId="35" borderId="0" applyNumberFormat="0" applyBorder="0" applyAlignment="0" applyProtection="0">
      <alignment vertical="center"/>
    </xf>
    <xf numFmtId="0" fontId="16" fillId="36" borderId="0" applyNumberFormat="0" applyBorder="0" applyAlignment="0" applyProtection="0">
      <alignment vertical="center"/>
    </xf>
    <xf numFmtId="0" fontId="20" fillId="37" borderId="0" applyNumberFormat="0" applyBorder="0" applyAlignment="0" applyProtection="0">
      <alignment vertical="center"/>
    </xf>
    <xf numFmtId="0" fontId="16" fillId="38" borderId="0" applyNumberFormat="0" applyBorder="0" applyAlignment="0" applyProtection="0">
      <alignment vertical="center"/>
    </xf>
  </cellStyleXfs>
  <cellXfs count="91">
    <xf numFmtId="0" fontId="0" fillId="0" borderId="0" xfId="0"/>
    <xf numFmtId="0" fontId="1" fillId="0" borderId="1" xfId="0" applyFont="1" applyBorder="1" applyAlignment="1"/>
    <xf numFmtId="0" fontId="1" fillId="0" borderId="1" xfId="0" applyFont="1" applyFill="1" applyBorder="1" applyAlignment="1"/>
    <xf numFmtId="0" fontId="2"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2" fillId="0" borderId="1" xfId="0" applyFont="1" applyFill="1" applyBorder="1" applyAlignment="1">
      <alignment horizontal="left" vertical="center" wrapText="1"/>
    </xf>
    <xf numFmtId="0" fontId="3" fillId="0" borderId="1" xfId="0" applyFont="1" applyFill="1" applyBorder="1" applyAlignment="1">
      <alignment horizontal="left" vertical="center" wrapText="1"/>
    </xf>
    <xf numFmtId="0" fontId="2" fillId="2" borderId="1" xfId="0" applyFont="1" applyFill="1" applyBorder="1" applyAlignment="1">
      <alignment horizontal="left" vertical="center"/>
    </xf>
    <xf numFmtId="0" fontId="2" fillId="0" borderId="1" xfId="0" applyFont="1" applyFill="1" applyBorder="1" applyAlignment="1">
      <alignment horizontal="left" vertical="center"/>
    </xf>
    <xf numFmtId="0" fontId="4" fillId="0" borderId="0" xfId="0" applyFont="1" applyFill="1" applyAlignment="1"/>
    <xf numFmtId="0" fontId="5" fillId="0" borderId="1" xfId="0" applyFont="1" applyBorder="1"/>
    <xf numFmtId="0" fontId="0" fillId="0" borderId="0" xfId="0" applyAlignment="1">
      <alignment wrapText="1"/>
    </xf>
    <xf numFmtId="0" fontId="6" fillId="3" borderId="2"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0" borderId="1" xfId="0" applyFont="1" applyBorder="1" applyAlignment="1">
      <alignment wrapText="1"/>
    </xf>
    <xf numFmtId="0" fontId="5" fillId="0" borderId="1" xfId="0" applyFont="1" applyFill="1" applyBorder="1" applyAlignment="1">
      <alignment horizontal="left" vertical="center" wrapText="1"/>
    </xf>
    <xf numFmtId="0" fontId="4" fillId="0" borderId="0" xfId="0" applyFont="1" applyFill="1" applyAlignment="1">
      <alignment wrapText="1"/>
    </xf>
    <xf numFmtId="0" fontId="5" fillId="0" borderId="1" xfId="0" applyFont="1" applyBorder="1" applyAlignment="1"/>
    <xf numFmtId="0" fontId="1" fillId="0" borderId="0" xfId="0" applyFont="1" applyFill="1" applyAlignment="1"/>
    <xf numFmtId="0" fontId="2" fillId="3"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1" fillId="0" borderId="0" xfId="0" applyFont="1" applyFill="1" applyAlignment="1">
      <alignment wrapText="1"/>
    </xf>
    <xf numFmtId="0" fontId="4" fillId="0" borderId="0" xfId="0" applyFont="1" applyFill="1" applyAlignment="1">
      <alignment horizontal="left"/>
    </xf>
    <xf numFmtId="0" fontId="0" fillId="0" borderId="1" xfId="0" applyBorder="1"/>
    <xf numFmtId="0" fontId="7" fillId="0" borderId="0" xfId="0" applyFont="1" applyAlignment="1">
      <alignment wrapText="1"/>
    </xf>
    <xf numFmtId="0" fontId="4" fillId="0" borderId="2" xfId="0" applyFont="1" applyFill="1" applyBorder="1" applyAlignment="1">
      <alignment horizontal="left" vertical="center" wrapText="1"/>
    </xf>
    <xf numFmtId="0" fontId="4" fillId="0" borderId="1" xfId="0" applyFont="1" applyFill="1" applyBorder="1" applyAlignment="1">
      <alignment horizontal="left" vertical="center" wrapText="1"/>
    </xf>
    <xf numFmtId="0" fontId="5" fillId="0" borderId="0" xfId="0" applyFont="1" applyAlignment="1">
      <alignment wrapText="1"/>
    </xf>
    <xf numFmtId="0" fontId="0" fillId="0" borderId="1" xfId="0" applyBorder="1" applyAlignment="1">
      <alignment wrapText="1"/>
    </xf>
    <xf numFmtId="0" fontId="7" fillId="0" borderId="1" xfId="0" applyFont="1" applyBorder="1" applyAlignment="1">
      <alignment wrapText="1"/>
    </xf>
    <xf numFmtId="0" fontId="4" fillId="0" borderId="1" xfId="0" applyFont="1" applyBorder="1" applyAlignment="1"/>
    <xf numFmtId="0" fontId="4" fillId="0" borderId="0" xfId="0" applyFont="1" applyFill="1" applyAlignment="1">
      <alignment horizontal="left" wrapText="1"/>
    </xf>
    <xf numFmtId="0" fontId="4" fillId="0" borderId="1" xfId="0" applyFont="1" applyFill="1" applyBorder="1" applyAlignment="1">
      <alignment vertical="center"/>
    </xf>
    <xf numFmtId="0" fontId="4" fillId="0" borderId="1" xfId="0" applyFont="1" applyBorder="1"/>
    <xf numFmtId="0" fontId="7" fillId="0" borderId="0" xfId="0" applyFont="1"/>
    <xf numFmtId="0" fontId="7" fillId="0" borderId="1" xfId="0" applyFont="1" applyBorder="1"/>
    <xf numFmtId="0" fontId="8" fillId="0" borderId="0" xfId="0" applyFont="1" applyFill="1"/>
    <xf numFmtId="0" fontId="3" fillId="2" borderId="1" xfId="0" applyFont="1" applyFill="1" applyBorder="1" applyAlignment="1">
      <alignment horizontal="left" vertical="center"/>
    </xf>
    <xf numFmtId="0" fontId="4" fillId="0" borderId="1" xfId="0" applyFont="1" applyFill="1" applyBorder="1" applyAlignment="1">
      <alignment horizontal="center" vertical="center" wrapText="1"/>
    </xf>
    <xf numFmtId="0" fontId="4" fillId="0" borderId="1" xfId="0" applyFont="1" applyBorder="1" applyAlignment="1">
      <alignment horizontal="left"/>
    </xf>
    <xf numFmtId="0" fontId="4" fillId="0" borderId="1" xfId="0" applyFont="1" applyFill="1" applyBorder="1" applyAlignment="1">
      <alignment vertical="center" wrapText="1"/>
    </xf>
    <xf numFmtId="0" fontId="4" fillId="0" borderId="1" xfId="0" applyFont="1" applyFill="1" applyBorder="1" applyAlignment="1">
      <alignment horizontal="center" vertical="center"/>
    </xf>
    <xf numFmtId="0" fontId="4" fillId="0" borderId="1" xfId="0" applyFont="1" applyFill="1" applyBorder="1"/>
    <xf numFmtId="0" fontId="4" fillId="0" borderId="1" xfId="0" applyFont="1" applyBorder="1" applyAlignment="1">
      <alignment wrapText="1"/>
    </xf>
    <xf numFmtId="0" fontId="9" fillId="0" borderId="1" xfId="0" applyFont="1" applyFill="1" applyBorder="1" applyAlignment="1">
      <alignment horizontal="center" vertical="center" wrapText="1"/>
    </xf>
    <xf numFmtId="0" fontId="7" fillId="0" borderId="3" xfId="0" applyFont="1" applyBorder="1"/>
    <xf numFmtId="0" fontId="0" fillId="0" borderId="3" xfId="0" applyBorder="1"/>
    <xf numFmtId="0" fontId="5" fillId="5" borderId="2" xfId="0" applyFont="1" applyFill="1" applyBorder="1" applyAlignment="1">
      <alignment horizontal="left" vertical="center" wrapText="1"/>
    </xf>
    <xf numFmtId="0" fontId="5" fillId="0" borderId="0" xfId="0" applyFont="1" applyFill="1" applyBorder="1" applyAlignment="1">
      <alignment horizontal="left" vertical="center" wrapText="1"/>
    </xf>
    <xf numFmtId="0" fontId="9" fillId="0" borderId="1" xfId="0" applyFont="1" applyBorder="1" applyAlignment="1">
      <alignment vertical="center"/>
    </xf>
    <xf numFmtId="0" fontId="9" fillId="0" borderId="1" xfId="0" applyFont="1" applyBorder="1" applyAlignment="1"/>
    <xf numFmtId="0" fontId="0" fillId="0" borderId="1" xfId="0" applyBorder="1" applyAlignment="1"/>
    <xf numFmtId="0" fontId="0" fillId="0" borderId="0" xfId="0" applyAlignment="1"/>
    <xf numFmtId="0" fontId="7" fillId="0" borderId="0" xfId="0" applyFont="1" applyAlignment="1"/>
    <xf numFmtId="0" fontId="7" fillId="0" borderId="1" xfId="0" applyFont="1" applyBorder="1" applyAlignment="1"/>
    <xf numFmtId="0" fontId="8" fillId="0" borderId="0" xfId="0" applyFont="1" applyFill="1" applyAlignment="1"/>
    <xf numFmtId="0" fontId="0" fillId="0" borderId="0" xfId="0" applyFill="1" applyAlignment="1"/>
    <xf numFmtId="0" fontId="9" fillId="0" borderId="1" xfId="0" applyFont="1" applyBorder="1" applyAlignment="1">
      <alignment horizontal="left" vertical="center" wrapText="1"/>
    </xf>
    <xf numFmtId="0" fontId="9" fillId="0" borderId="1" xfId="0" applyFont="1" applyBorder="1" applyAlignment="1">
      <alignment vertical="center" wrapText="1"/>
    </xf>
    <xf numFmtId="0" fontId="9" fillId="0" borderId="1" xfId="0" applyFont="1" applyFill="1" applyBorder="1" applyAlignment="1">
      <alignment horizontal="left" vertical="center" wrapText="1"/>
    </xf>
    <xf numFmtId="0" fontId="9" fillId="0" borderId="1" xfId="0" applyFont="1" applyBorder="1" applyAlignment="1">
      <alignment wrapText="1"/>
    </xf>
    <xf numFmtId="0" fontId="4" fillId="0" borderId="1" xfId="0" applyFont="1" applyFill="1" applyBorder="1" applyAlignment="1"/>
    <xf numFmtId="0" fontId="5" fillId="0" borderId="1" xfId="0" applyFont="1" applyFill="1" applyBorder="1" applyAlignment="1"/>
    <xf numFmtId="0" fontId="9" fillId="0" borderId="1" xfId="0" applyFont="1" applyFill="1" applyBorder="1" applyAlignment="1"/>
    <xf numFmtId="0" fontId="8" fillId="0" borderId="1" xfId="0" applyFont="1" applyFill="1" applyBorder="1" applyAlignment="1"/>
    <xf numFmtId="0" fontId="0" fillId="0" borderId="1" xfId="0" applyFill="1" applyBorder="1" applyAlignment="1"/>
    <xf numFmtId="0" fontId="7" fillId="0" borderId="3" xfId="0" applyFont="1" applyBorder="1" applyAlignment="1"/>
    <xf numFmtId="0" fontId="10" fillId="0" borderId="0" xfId="0" applyFont="1" applyFill="1"/>
    <xf numFmtId="0" fontId="10" fillId="0" borderId="0" xfId="0" applyFont="1"/>
    <xf numFmtId="0" fontId="11" fillId="6" borderId="4" xfId="0" applyFont="1" applyFill="1" applyBorder="1" applyAlignment="1">
      <alignment horizontal="center" wrapText="1"/>
    </xf>
    <xf numFmtId="0" fontId="11" fillId="6" borderId="5" xfId="0" applyFont="1" applyFill="1" applyBorder="1" applyAlignment="1">
      <alignment horizontal="center" wrapText="1"/>
    </xf>
    <xf numFmtId="0" fontId="11" fillId="7" borderId="2" xfId="0" applyFont="1" applyFill="1" applyBorder="1" applyAlignment="1">
      <alignment wrapText="1"/>
    </xf>
    <xf numFmtId="0" fontId="11" fillId="7" borderId="4" xfId="0" applyFont="1" applyFill="1" applyBorder="1" applyAlignment="1">
      <alignment horizontal="center" wrapText="1"/>
    </xf>
    <xf numFmtId="0" fontId="11" fillId="7" borderId="6" xfId="0" applyFont="1" applyFill="1" applyBorder="1" applyAlignment="1">
      <alignment horizontal="center" wrapText="1"/>
    </xf>
    <xf numFmtId="0" fontId="11" fillId="7" borderId="5" xfId="0" applyFont="1" applyFill="1" applyBorder="1" applyAlignment="1">
      <alignment horizontal="center" wrapText="1"/>
    </xf>
    <xf numFmtId="0" fontId="11" fillId="7" borderId="6" xfId="0" applyFont="1" applyFill="1" applyBorder="1" applyAlignment="1">
      <alignment wrapText="1"/>
    </xf>
    <xf numFmtId="0" fontId="11" fillId="7" borderId="3" xfId="0" applyFont="1" applyFill="1" applyBorder="1" applyAlignment="1">
      <alignment wrapText="1"/>
    </xf>
    <xf numFmtId="0" fontId="11" fillId="7" borderId="1" xfId="0" applyFont="1" applyFill="1" applyBorder="1" applyAlignment="1">
      <alignment wrapText="1"/>
    </xf>
    <xf numFmtId="0" fontId="10" fillId="0" borderId="1" xfId="0" applyFont="1" applyBorder="1"/>
    <xf numFmtId="0" fontId="12" fillId="7" borderId="1" xfId="0" applyFont="1" applyFill="1" applyBorder="1" applyAlignment="1">
      <alignment wrapText="1"/>
    </xf>
    <xf numFmtId="0" fontId="13" fillId="7" borderId="2" xfId="0" applyFont="1" applyFill="1" applyBorder="1" applyAlignment="1">
      <alignment horizontal="center" wrapText="1"/>
    </xf>
    <xf numFmtId="0" fontId="13" fillId="7" borderId="2" xfId="0" applyFont="1" applyFill="1" applyBorder="1" applyAlignment="1">
      <alignment horizontal="center"/>
    </xf>
    <xf numFmtId="0" fontId="13" fillId="7" borderId="3" xfId="0" applyFont="1" applyFill="1" applyBorder="1" applyAlignment="1">
      <alignment horizontal="center" wrapText="1"/>
    </xf>
    <xf numFmtId="0" fontId="13" fillId="7" borderId="3" xfId="0" applyFont="1" applyFill="1" applyBorder="1" applyAlignment="1">
      <alignment horizontal="center"/>
    </xf>
    <xf numFmtId="0" fontId="5" fillId="0" borderId="1" xfId="0" applyFont="1" applyFill="1" applyBorder="1" applyAlignment="1">
      <alignment wrapText="1"/>
    </xf>
    <xf numFmtId="0" fontId="5" fillId="0" borderId="1" xfId="0" applyFont="1" applyFill="1" applyBorder="1"/>
    <xf numFmtId="0" fontId="12" fillId="7" borderId="1" xfId="0" applyFont="1" applyFill="1" applyBorder="1"/>
    <xf numFmtId="0" fontId="14" fillId="0" borderId="0" xfId="0" applyFont="1" applyAlignment="1">
      <alignment horizontal="left" vertical="center" wrapText="1"/>
    </xf>
    <xf numFmtId="0" fontId="14" fillId="0" borderId="0" xfId="0" applyFont="1" applyAlignment="1">
      <alignment horizontal="lef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Medium9"/>
  <colors>
    <mruColors>
      <color rgb="00FD8571"/>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mn-lt"/>
                <a:ea typeface="+mn-ea"/>
                <a:cs typeface="+mn-cs"/>
              </a:defRPr>
            </a:pPr>
            <a:r>
              <a:t>模块问题改进比例</a:t>
            </a:r>
          </a:p>
        </c:rich>
      </c:tx>
      <c:layout/>
      <c:overlay val="0"/>
      <c:spPr>
        <a:noFill/>
        <a:ln>
          <a:noFill/>
        </a:ln>
        <a:effectLst/>
      </c:spPr>
    </c:title>
    <c:autoTitleDeleted val="0"/>
    <c:plotArea>
      <c:layout/>
      <c:barChart>
        <c:barDir val="col"/>
        <c:grouping val="clustered"/>
        <c:varyColors val="0"/>
        <c:ser>
          <c:idx val="0"/>
          <c:order val="0"/>
          <c:tx>
            <c:strRef>
              <c:f>"总数"</c:f>
              <c:strCache>
                <c:ptCount val="1"/>
                <c:pt idx="0">
                  <c:v>总数</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问题统计表!$A$4:$A$8</c:f>
              <c:strCache>
                <c:ptCount val="5"/>
                <c:pt idx="0">
                  <c:v>定时</c:v>
                </c:pt>
                <c:pt idx="1">
                  <c:v>实时&amp;容灾</c:v>
                </c:pt>
                <c:pt idx="2">
                  <c:v>云备份</c:v>
                </c:pt>
                <c:pt idx="3">
                  <c:v>磁带备份</c:v>
                </c:pt>
                <c:pt idx="4">
                  <c:v>其他</c:v>
                </c:pt>
              </c:strCache>
            </c:strRef>
          </c:cat>
          <c:val>
            <c:numRef>
              <c:f>问题统计表!$R$4:$R$8</c:f>
              <c:numCache>
                <c:formatCode>General</c:formatCode>
                <c:ptCount val="5"/>
                <c:pt idx="0">
                  <c:v>13</c:v>
                </c:pt>
                <c:pt idx="1">
                  <c:v>1</c:v>
                </c:pt>
                <c:pt idx="2">
                  <c:v>4</c:v>
                </c:pt>
                <c:pt idx="3">
                  <c:v>5</c:v>
                </c:pt>
                <c:pt idx="4">
                  <c:v>7</c:v>
                </c:pt>
              </c:numCache>
            </c:numRef>
          </c:val>
        </c:ser>
        <c:ser>
          <c:idx val="1"/>
          <c:order val="1"/>
          <c:tx>
            <c:strRef>
              <c:f>"改进数"</c:f>
              <c:strCache>
                <c:ptCount val="1"/>
                <c:pt idx="0">
                  <c:v>改进数</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问题统计表!$A$4:$A$8</c:f>
              <c:strCache>
                <c:ptCount val="5"/>
                <c:pt idx="0">
                  <c:v>定时</c:v>
                </c:pt>
                <c:pt idx="1">
                  <c:v>实时&amp;容灾</c:v>
                </c:pt>
                <c:pt idx="2">
                  <c:v>云备份</c:v>
                </c:pt>
                <c:pt idx="3">
                  <c:v>磁带备份</c:v>
                </c:pt>
                <c:pt idx="4">
                  <c:v>其他</c:v>
                </c:pt>
              </c:strCache>
            </c:strRef>
          </c:cat>
          <c:val>
            <c:numRef>
              <c:f>问题统计表!$S$4:$S$8</c:f>
              <c:numCache>
                <c:formatCode>General</c:formatCode>
                <c:ptCount val="5"/>
                <c:pt idx="0">
                  <c:v>5</c:v>
                </c:pt>
                <c:pt idx="1">
                  <c:v>1</c:v>
                </c:pt>
                <c:pt idx="2">
                  <c:v>1</c:v>
                </c:pt>
                <c:pt idx="3">
                  <c:v>5</c:v>
                </c:pt>
                <c:pt idx="4">
                  <c:v>7</c:v>
                </c:pt>
              </c:numCache>
            </c:numRef>
          </c:val>
        </c:ser>
        <c:dLbls>
          <c:showLegendKey val="0"/>
          <c:showVal val="1"/>
          <c:showCatName val="0"/>
          <c:showSerName val="0"/>
          <c:showPercent val="0"/>
          <c:showBubbleSize val="0"/>
        </c:dLbls>
        <c:gapWidth val="219"/>
        <c:overlap val="-27"/>
        <c:axId val="509984874"/>
        <c:axId val="256630776"/>
      </c:barChart>
      <c:catAx>
        <c:axId val="50998487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56630776"/>
        <c:crosses val="autoZero"/>
        <c:auto val="1"/>
        <c:lblAlgn val="ctr"/>
        <c:lblOffset val="100"/>
        <c:noMultiLvlLbl val="0"/>
      </c:catAx>
      <c:valAx>
        <c:axId val="256630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09984874"/>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1360805</xdr:colOff>
      <xdr:row>12</xdr:row>
      <xdr:rowOff>12700</xdr:rowOff>
    </xdr:from>
    <xdr:to>
      <xdr:col>9</xdr:col>
      <xdr:colOff>127000</xdr:colOff>
      <xdr:row>33</xdr:row>
      <xdr:rowOff>145415</xdr:rowOff>
    </xdr:to>
    <xdr:graphicFrame>
      <xdr:nvGraphicFramePr>
        <xdr:cNvPr id="2" name="图表 1"/>
        <xdr:cNvGraphicFramePr/>
      </xdr:nvGraphicFramePr>
      <xdr:xfrm>
        <a:off x="1360805" y="5022850"/>
        <a:ext cx="5581015" cy="37331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workbookViewId="0">
      <selection activeCell="A17" sqref="A17"/>
    </sheetView>
  </sheetViews>
  <sheetFormatPr defaultColWidth="9" defaultRowHeight="13.5" outlineLevelCol="4"/>
  <cols>
    <col min="1" max="1" width="107" customWidth="1"/>
  </cols>
  <sheetData>
    <row r="1" spans="1:5">
      <c r="A1" s="89" t="s">
        <v>0</v>
      </c>
      <c r="B1" s="90"/>
      <c r="C1" s="90"/>
      <c r="D1" s="90"/>
      <c r="E1" s="90"/>
    </row>
    <row r="2" spans="1:5">
      <c r="A2" s="90"/>
      <c r="B2" s="90"/>
      <c r="C2" s="90"/>
      <c r="D2" s="90"/>
      <c r="E2" s="90"/>
    </row>
    <row r="3" spans="1:5">
      <c r="A3" s="90"/>
      <c r="B3" s="90"/>
      <c r="C3" s="90"/>
      <c r="D3" s="90"/>
      <c r="E3" s="90"/>
    </row>
    <row r="4" spans="1:5">
      <c r="A4" s="90"/>
      <c r="B4" s="90"/>
      <c r="C4" s="90"/>
      <c r="D4" s="90"/>
      <c r="E4" s="90"/>
    </row>
    <row r="5" spans="1:5">
      <c r="A5" s="90"/>
      <c r="B5" s="90"/>
      <c r="C5" s="90"/>
      <c r="D5" s="90"/>
      <c r="E5" s="90"/>
    </row>
    <row r="6" spans="1:5">
      <c r="A6" s="90"/>
      <c r="B6" s="90"/>
      <c r="C6" s="90"/>
      <c r="D6" s="90"/>
      <c r="E6" s="90"/>
    </row>
    <row r="7" spans="1:5">
      <c r="A7" s="90"/>
      <c r="B7" s="90"/>
      <c r="C7" s="90"/>
      <c r="D7" s="90"/>
      <c r="E7" s="90"/>
    </row>
    <row r="8" spans="1:5">
      <c r="A8" s="90"/>
      <c r="B8" s="90"/>
      <c r="C8" s="90"/>
      <c r="D8" s="90"/>
      <c r="E8" s="90"/>
    </row>
    <row r="9" spans="1:5">
      <c r="A9" s="90"/>
      <c r="B9" s="90"/>
      <c r="C9" s="90"/>
      <c r="D9" s="90"/>
      <c r="E9" s="90"/>
    </row>
    <row r="10" spans="1:5">
      <c r="A10" s="90"/>
      <c r="B10" s="90"/>
      <c r="C10" s="90"/>
      <c r="D10" s="90"/>
      <c r="E10" s="90"/>
    </row>
    <row r="11" spans="1:5">
      <c r="A11" s="90"/>
      <c r="B11" s="90"/>
      <c r="C11" s="90"/>
      <c r="D11" s="90"/>
      <c r="E11" s="90"/>
    </row>
    <row r="12" ht="324.75" customHeight="1" spans="1:5">
      <c r="A12" s="90"/>
      <c r="B12" s="90"/>
      <c r="C12" s="90"/>
      <c r="D12" s="90"/>
      <c r="E12" s="90"/>
    </row>
  </sheetData>
  <mergeCells count="1">
    <mergeCell ref="A1:E12"/>
  </mergeCells>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9"/>
  <sheetViews>
    <sheetView zoomScale="85" zoomScaleNormal="85" workbookViewId="0">
      <selection activeCell="P21" sqref="P21"/>
    </sheetView>
  </sheetViews>
  <sheetFormatPr defaultColWidth="9" defaultRowHeight="13.5"/>
  <cols>
    <col min="1" max="1" width="17.9333333333333" style="11" customWidth="1"/>
    <col min="2" max="3" width="10.75" style="11" customWidth="1"/>
    <col min="4" max="4" width="7.25" style="11" customWidth="1"/>
    <col min="5" max="5" width="7.375" style="11" customWidth="1"/>
    <col min="6" max="6" width="7.625" style="11" customWidth="1"/>
    <col min="7" max="7" width="9.25" style="11" customWidth="1"/>
    <col min="8" max="8" width="8.75" style="11" customWidth="1"/>
    <col min="9" max="10" width="9.75" style="11" customWidth="1"/>
    <col min="11" max="11" width="10.125" style="11" customWidth="1"/>
    <col min="12" max="12" width="9.375" style="11" customWidth="1"/>
    <col min="13" max="14" width="9.625" style="11" customWidth="1"/>
    <col min="15" max="16" width="8.75" style="11" customWidth="1"/>
    <col min="17" max="17" width="9.25" style="11" customWidth="1"/>
    <col min="18" max="18" width="6.875" style="11" customWidth="1"/>
    <col min="19" max="19" width="10.375" customWidth="1"/>
  </cols>
  <sheetData>
    <row r="1" ht="45" customHeight="1" spans="1:19">
      <c r="A1" s="71" t="s">
        <v>1</v>
      </c>
      <c r="B1" s="72"/>
      <c r="C1" s="72"/>
      <c r="D1" s="72"/>
      <c r="E1" s="72"/>
      <c r="F1" s="72"/>
      <c r="G1" s="72"/>
      <c r="H1" s="72"/>
      <c r="I1" s="72"/>
      <c r="J1" s="72"/>
      <c r="K1" s="72"/>
      <c r="L1" s="72"/>
      <c r="M1" s="72"/>
      <c r="N1" s="72"/>
      <c r="O1" s="72"/>
      <c r="P1" s="72"/>
      <c r="Q1" s="72"/>
      <c r="R1" s="72"/>
      <c r="S1" s="72"/>
    </row>
    <row r="2" s="69" customFormat="1" ht="42" customHeight="1" spans="1:19">
      <c r="A2" s="73" t="s">
        <v>2</v>
      </c>
      <c r="B2" s="74" t="s">
        <v>3</v>
      </c>
      <c r="C2" s="75"/>
      <c r="D2" s="76" t="s">
        <v>4</v>
      </c>
      <c r="E2" s="77"/>
      <c r="F2" s="76" t="s">
        <v>5</v>
      </c>
      <c r="G2" s="77"/>
      <c r="H2" s="76" t="s">
        <v>6</v>
      </c>
      <c r="I2" s="77"/>
      <c r="J2" s="76" t="s">
        <v>7</v>
      </c>
      <c r="K2" s="77"/>
      <c r="L2" s="76" t="s">
        <v>8</v>
      </c>
      <c r="M2" s="77"/>
      <c r="N2" s="76" t="s">
        <v>9</v>
      </c>
      <c r="O2" s="77"/>
      <c r="P2" s="76" t="s">
        <v>10</v>
      </c>
      <c r="Q2" s="77"/>
      <c r="R2" s="82" t="s">
        <v>11</v>
      </c>
      <c r="S2" s="83" t="s">
        <v>12</v>
      </c>
    </row>
    <row r="3" s="69" customFormat="1" ht="42" customHeight="1" spans="1:19">
      <c r="A3" s="78"/>
      <c r="B3" s="79" t="s">
        <v>11</v>
      </c>
      <c r="C3" s="79" t="s">
        <v>13</v>
      </c>
      <c r="D3" s="79" t="s">
        <v>11</v>
      </c>
      <c r="E3" s="79" t="s">
        <v>13</v>
      </c>
      <c r="F3" s="79" t="s">
        <v>11</v>
      </c>
      <c r="G3" s="79" t="s">
        <v>13</v>
      </c>
      <c r="H3" s="79" t="s">
        <v>11</v>
      </c>
      <c r="I3" s="79" t="s">
        <v>13</v>
      </c>
      <c r="J3" s="79" t="s">
        <v>11</v>
      </c>
      <c r="K3" s="79" t="s">
        <v>13</v>
      </c>
      <c r="L3" s="79" t="s">
        <v>11</v>
      </c>
      <c r="M3" s="79" t="s">
        <v>13</v>
      </c>
      <c r="N3" s="79" t="s">
        <v>11</v>
      </c>
      <c r="O3" s="79" t="s">
        <v>13</v>
      </c>
      <c r="P3" s="79" t="s">
        <v>11</v>
      </c>
      <c r="Q3" s="79" t="s">
        <v>13</v>
      </c>
      <c r="R3" s="84"/>
      <c r="S3" s="85"/>
    </row>
    <row r="4" s="70" customFormat="1" ht="45" customHeight="1" spans="1:19">
      <c r="A4" s="45" t="s">
        <v>14</v>
      </c>
      <c r="B4" s="45">
        <v>0</v>
      </c>
      <c r="C4" s="45">
        <v>0</v>
      </c>
      <c r="D4" s="45">
        <v>9</v>
      </c>
      <c r="E4" s="80">
        <v>4</v>
      </c>
      <c r="F4" s="45">
        <v>2</v>
      </c>
      <c r="G4" s="80">
        <v>0</v>
      </c>
      <c r="H4" s="45">
        <v>0</v>
      </c>
      <c r="I4" s="45">
        <v>0</v>
      </c>
      <c r="J4" s="45">
        <v>0</v>
      </c>
      <c r="K4" s="45">
        <v>0</v>
      </c>
      <c r="L4" s="45">
        <v>0</v>
      </c>
      <c r="M4" s="45">
        <v>0</v>
      </c>
      <c r="N4" s="45">
        <v>2</v>
      </c>
      <c r="O4" s="80">
        <v>1</v>
      </c>
      <c r="P4" s="45">
        <v>0</v>
      </c>
      <c r="Q4" s="45">
        <v>0</v>
      </c>
      <c r="R4" s="86">
        <v>13</v>
      </c>
      <c r="S4" s="87">
        <v>5</v>
      </c>
    </row>
    <row r="5" s="70" customFormat="1" ht="33" customHeight="1" spans="1:19">
      <c r="A5" s="45" t="s">
        <v>15</v>
      </c>
      <c r="B5" s="45">
        <v>0</v>
      </c>
      <c r="C5" s="45">
        <v>0</v>
      </c>
      <c r="D5" s="45">
        <v>1</v>
      </c>
      <c r="E5" s="80">
        <v>1</v>
      </c>
      <c r="F5" s="45">
        <v>0</v>
      </c>
      <c r="G5" s="80">
        <v>0</v>
      </c>
      <c r="H5" s="45">
        <v>0</v>
      </c>
      <c r="I5" s="45">
        <v>0</v>
      </c>
      <c r="J5" s="45">
        <v>0</v>
      </c>
      <c r="K5" s="45">
        <v>0</v>
      </c>
      <c r="L5" s="45">
        <v>0</v>
      </c>
      <c r="M5" s="45">
        <v>0</v>
      </c>
      <c r="N5" s="45">
        <v>0</v>
      </c>
      <c r="O5" s="80">
        <v>0</v>
      </c>
      <c r="P5" s="45">
        <v>0</v>
      </c>
      <c r="Q5" s="45">
        <v>0</v>
      </c>
      <c r="R5" s="86">
        <v>1</v>
      </c>
      <c r="S5" s="87">
        <v>1</v>
      </c>
    </row>
    <row r="6" s="70" customFormat="1" ht="35" customHeight="1" spans="1:19">
      <c r="A6" s="45" t="s">
        <v>16</v>
      </c>
      <c r="B6" s="45">
        <v>0</v>
      </c>
      <c r="C6" s="45">
        <v>0</v>
      </c>
      <c r="D6" s="45">
        <v>2</v>
      </c>
      <c r="E6" s="80">
        <v>1</v>
      </c>
      <c r="F6" s="45">
        <v>2</v>
      </c>
      <c r="G6" s="80">
        <v>0</v>
      </c>
      <c r="H6" s="45">
        <v>0</v>
      </c>
      <c r="I6" s="45">
        <v>0</v>
      </c>
      <c r="J6" s="45">
        <v>0</v>
      </c>
      <c r="K6" s="45">
        <v>0</v>
      </c>
      <c r="L6" s="45">
        <v>0</v>
      </c>
      <c r="M6" s="45">
        <v>0</v>
      </c>
      <c r="N6" s="45">
        <v>0</v>
      </c>
      <c r="O6" s="80">
        <v>0</v>
      </c>
      <c r="P6" s="45">
        <v>0</v>
      </c>
      <c r="Q6" s="45">
        <v>0</v>
      </c>
      <c r="R6" s="86">
        <v>4</v>
      </c>
      <c r="S6" s="87">
        <v>1</v>
      </c>
    </row>
    <row r="7" s="70" customFormat="1" ht="43" customHeight="1" spans="1:19">
      <c r="A7" s="45" t="s">
        <v>17</v>
      </c>
      <c r="B7" s="45">
        <v>1</v>
      </c>
      <c r="C7" s="45">
        <v>1</v>
      </c>
      <c r="D7" s="45">
        <v>3</v>
      </c>
      <c r="E7" s="80">
        <v>3</v>
      </c>
      <c r="F7" s="45">
        <v>1</v>
      </c>
      <c r="G7" s="80">
        <v>1</v>
      </c>
      <c r="H7" s="45">
        <v>0</v>
      </c>
      <c r="I7" s="45">
        <v>0</v>
      </c>
      <c r="J7" s="45">
        <v>0</v>
      </c>
      <c r="K7" s="45">
        <v>0</v>
      </c>
      <c r="L7" s="45">
        <v>0</v>
      </c>
      <c r="M7" s="45">
        <v>0</v>
      </c>
      <c r="N7" s="45">
        <v>0</v>
      </c>
      <c r="O7" s="80">
        <v>0</v>
      </c>
      <c r="P7" s="45">
        <v>0</v>
      </c>
      <c r="Q7" s="45">
        <v>0</v>
      </c>
      <c r="R7" s="86">
        <v>5</v>
      </c>
      <c r="S7" s="87">
        <v>5</v>
      </c>
    </row>
    <row r="8" s="70" customFormat="1" ht="26" customHeight="1" spans="1:19">
      <c r="A8" s="45" t="s">
        <v>18</v>
      </c>
      <c r="B8" s="45">
        <v>0</v>
      </c>
      <c r="C8" s="45">
        <v>0</v>
      </c>
      <c r="D8" s="45">
        <v>0</v>
      </c>
      <c r="E8" s="80">
        <v>0</v>
      </c>
      <c r="F8" s="45">
        <v>0</v>
      </c>
      <c r="G8" s="80">
        <v>0</v>
      </c>
      <c r="H8" s="45">
        <v>0</v>
      </c>
      <c r="I8" s="45">
        <v>0</v>
      </c>
      <c r="J8" s="45">
        <v>0</v>
      </c>
      <c r="K8" s="45">
        <v>0</v>
      </c>
      <c r="L8" s="45">
        <v>0</v>
      </c>
      <c r="M8" s="45">
        <v>0</v>
      </c>
      <c r="N8" s="45">
        <v>4</v>
      </c>
      <c r="O8" s="80">
        <v>4</v>
      </c>
      <c r="P8" s="45">
        <v>3</v>
      </c>
      <c r="Q8" s="80">
        <v>3</v>
      </c>
      <c r="R8" s="86">
        <v>7</v>
      </c>
      <c r="S8" s="87">
        <v>7</v>
      </c>
    </row>
    <row r="9" ht="43" customHeight="1" spans="1:19">
      <c r="A9" s="81" t="s">
        <v>19</v>
      </c>
      <c r="B9" s="81">
        <f t="shared" ref="B9:H9" si="0">SUM(B4:B8)</f>
        <v>1</v>
      </c>
      <c r="C9" s="81">
        <f t="shared" si="0"/>
        <v>1</v>
      </c>
      <c r="D9" s="81">
        <f t="shared" si="0"/>
        <v>15</v>
      </c>
      <c r="E9" s="81">
        <f t="shared" si="0"/>
        <v>9</v>
      </c>
      <c r="F9" s="81">
        <f t="shared" si="0"/>
        <v>5</v>
      </c>
      <c r="G9" s="81">
        <f t="shared" si="0"/>
        <v>1</v>
      </c>
      <c r="H9" s="81">
        <f t="shared" si="0"/>
        <v>0</v>
      </c>
      <c r="I9" s="81">
        <v>0</v>
      </c>
      <c r="J9" s="81">
        <f>SUM(J4:J8)</f>
        <v>0</v>
      </c>
      <c r="K9" s="81">
        <v>0</v>
      </c>
      <c r="L9" s="81">
        <f>SUM(L4:L8)</f>
        <v>0</v>
      </c>
      <c r="M9" s="81">
        <v>0</v>
      </c>
      <c r="N9" s="81">
        <f t="shared" ref="N9:S9" si="1">SUM(N4:N8)</f>
        <v>6</v>
      </c>
      <c r="O9" s="81">
        <f t="shared" si="1"/>
        <v>5</v>
      </c>
      <c r="P9" s="81">
        <f t="shared" si="1"/>
        <v>3</v>
      </c>
      <c r="Q9" s="81">
        <f t="shared" si="1"/>
        <v>3</v>
      </c>
      <c r="R9" s="81">
        <f t="shared" si="1"/>
        <v>30</v>
      </c>
      <c r="S9" s="88">
        <f t="shared" si="1"/>
        <v>19</v>
      </c>
    </row>
  </sheetData>
  <mergeCells count="11">
    <mergeCell ref="A1:S1"/>
    <mergeCell ref="B2:C2"/>
    <mergeCell ref="D2:E2"/>
    <mergeCell ref="F2:G2"/>
    <mergeCell ref="H2:I2"/>
    <mergeCell ref="J2:K2"/>
    <mergeCell ref="L2:M2"/>
    <mergeCell ref="N2:O2"/>
    <mergeCell ref="P2:Q2"/>
    <mergeCell ref="R2:R3"/>
    <mergeCell ref="S2:S3"/>
  </mergeCells>
  <pageMargins left="0.75" right="0.75" top="1" bottom="1" header="0.511805555555556" footer="0.511805555555556"/>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8"/>
  <sheetViews>
    <sheetView workbookViewId="0">
      <pane ySplit="1" topLeftCell="A2" activePane="bottomLeft" state="frozen"/>
      <selection/>
      <selection pane="bottomLeft" activeCell="E3" sqref="E3"/>
    </sheetView>
  </sheetViews>
  <sheetFormatPr defaultColWidth="9" defaultRowHeight="13.5"/>
  <cols>
    <col min="1" max="1" width="5.375" style="54" customWidth="1"/>
    <col min="2" max="2" width="16.75" style="11" customWidth="1"/>
    <col min="3" max="3" width="15.5" style="54" customWidth="1"/>
    <col min="4" max="4" width="12.375" style="11" customWidth="1"/>
    <col min="5" max="5" width="19" style="26" customWidth="1"/>
    <col min="6" max="6" width="9.4" style="55" customWidth="1"/>
    <col min="7" max="7" width="11.025" style="55" customWidth="1"/>
    <col min="8" max="8" width="9.99166666666667" style="55" customWidth="1"/>
    <col min="9" max="9" width="7.79166666666667" style="56" customWidth="1"/>
    <col min="10" max="10" width="31.75" style="11" customWidth="1"/>
    <col min="11" max="11" width="10.625" style="57" customWidth="1"/>
    <col min="12" max="12" width="9" style="58"/>
    <col min="13" max="13" width="9.75" style="11" customWidth="1"/>
    <col min="14" max="14" width="7.625" style="11" customWidth="1"/>
    <col min="15" max="15" width="8" style="55" customWidth="1"/>
    <col min="16" max="16" width="9.25" style="56" customWidth="1"/>
    <col min="17" max="17" width="11.625" style="54" customWidth="1"/>
    <col min="18" max="16384" width="9" style="54"/>
  </cols>
  <sheetData>
    <row r="1" s="1" customFormat="1" ht="40" customHeight="1" spans="1:17">
      <c r="A1" s="3" t="s">
        <v>20</v>
      </c>
      <c r="B1" s="3" t="s">
        <v>21</v>
      </c>
      <c r="C1" s="3" t="s">
        <v>22</v>
      </c>
      <c r="D1" s="3" t="s">
        <v>23</v>
      </c>
      <c r="E1" s="4" t="s">
        <v>24</v>
      </c>
      <c r="F1" s="4" t="s">
        <v>25</v>
      </c>
      <c r="G1" s="4" t="s">
        <v>26</v>
      </c>
      <c r="H1" s="4" t="s">
        <v>27</v>
      </c>
      <c r="I1" s="4" t="s">
        <v>28</v>
      </c>
      <c r="J1" s="7" t="s">
        <v>29</v>
      </c>
      <c r="K1" s="3" t="s">
        <v>30</v>
      </c>
      <c r="L1" s="3" t="s">
        <v>31</v>
      </c>
      <c r="M1" s="4" t="s">
        <v>25</v>
      </c>
      <c r="N1" s="4" t="s">
        <v>32</v>
      </c>
      <c r="O1" s="4" t="s">
        <v>27</v>
      </c>
      <c r="P1" s="4" t="s">
        <v>33</v>
      </c>
      <c r="Q1" s="4" t="s">
        <v>34</v>
      </c>
    </row>
    <row r="2" s="34" customFormat="1" ht="81.95" customHeight="1" spans="1:17">
      <c r="A2" s="28" t="s">
        <v>35</v>
      </c>
      <c r="B2" s="28" t="s">
        <v>36</v>
      </c>
      <c r="C2" s="28" t="s">
        <v>37</v>
      </c>
      <c r="D2" s="28" t="s">
        <v>4</v>
      </c>
      <c r="E2" s="42" t="s">
        <v>38</v>
      </c>
      <c r="F2" s="28">
        <v>9</v>
      </c>
      <c r="G2" s="28">
        <v>9</v>
      </c>
      <c r="H2" s="28">
        <v>3</v>
      </c>
      <c r="I2" s="34">
        <v>243</v>
      </c>
      <c r="J2" s="42" t="s">
        <v>39</v>
      </c>
      <c r="K2" s="28" t="s">
        <v>40</v>
      </c>
      <c r="L2" s="28" t="s">
        <v>41</v>
      </c>
      <c r="M2" s="28"/>
      <c r="N2" s="28"/>
      <c r="O2" s="28"/>
      <c r="Q2" s="32"/>
    </row>
    <row r="3" s="51" customFormat="1" ht="148.5" spans="1:17">
      <c r="A3" s="59" t="s">
        <v>42</v>
      </c>
      <c r="B3" s="59" t="s">
        <v>43</v>
      </c>
      <c r="C3" s="18" t="s">
        <v>44</v>
      </c>
      <c r="D3" s="59" t="s">
        <v>9</v>
      </c>
      <c r="E3" s="60" t="s">
        <v>45</v>
      </c>
      <c r="F3" s="61">
        <v>5</v>
      </c>
      <c r="G3" s="59">
        <v>8</v>
      </c>
      <c r="H3" s="59">
        <v>6</v>
      </c>
      <c r="I3" s="51">
        <v>240</v>
      </c>
      <c r="J3" s="60" t="s">
        <v>46</v>
      </c>
      <c r="K3" s="63" t="s">
        <v>47</v>
      </c>
      <c r="L3" s="61" t="s">
        <v>48</v>
      </c>
      <c r="M3" s="61">
        <v>5</v>
      </c>
      <c r="N3" s="59">
        <v>8</v>
      </c>
      <c r="O3" s="59">
        <v>2</v>
      </c>
      <c r="P3" s="51">
        <v>80</v>
      </c>
      <c r="Q3" s="51" t="s">
        <v>49</v>
      </c>
    </row>
    <row r="4" s="18" customFormat="1" ht="36" customHeight="1" spans="1:17">
      <c r="A4" s="18" t="s">
        <v>50</v>
      </c>
      <c r="B4" s="15" t="s">
        <v>51</v>
      </c>
      <c r="C4" s="18" t="s">
        <v>44</v>
      </c>
      <c r="D4" s="28" t="s">
        <v>4</v>
      </c>
      <c r="E4" s="60" t="s">
        <v>45</v>
      </c>
      <c r="F4" s="18">
        <v>9</v>
      </c>
      <c r="G4" s="18">
        <v>8</v>
      </c>
      <c r="H4" s="18">
        <v>8</v>
      </c>
      <c r="I4" s="18">
        <v>576</v>
      </c>
      <c r="J4" s="15" t="s">
        <v>52</v>
      </c>
      <c r="K4" s="64" t="s">
        <v>47</v>
      </c>
      <c r="L4" s="16" t="s">
        <v>48</v>
      </c>
      <c r="M4" s="15">
        <v>9</v>
      </c>
      <c r="N4" s="15">
        <v>3</v>
      </c>
      <c r="O4" s="18">
        <v>3</v>
      </c>
      <c r="P4" s="18">
        <v>81</v>
      </c>
      <c r="Q4" s="18" t="s">
        <v>53</v>
      </c>
    </row>
    <row r="5" s="18" customFormat="1" ht="38" customHeight="1" spans="1:17">
      <c r="A5" s="18" t="s">
        <v>50</v>
      </c>
      <c r="B5" s="15" t="s">
        <v>54</v>
      </c>
      <c r="C5" s="18" t="s">
        <v>44</v>
      </c>
      <c r="D5" s="28" t="s">
        <v>4</v>
      </c>
      <c r="E5" s="60" t="s">
        <v>45</v>
      </c>
      <c r="F5" s="18">
        <v>9</v>
      </c>
      <c r="G5" s="18">
        <v>6</v>
      </c>
      <c r="H5" s="18">
        <v>6</v>
      </c>
      <c r="I5" s="18">
        <v>324</v>
      </c>
      <c r="J5" s="15" t="s">
        <v>55</v>
      </c>
      <c r="K5" s="64" t="s">
        <v>47</v>
      </c>
      <c r="L5" s="16" t="s">
        <v>48</v>
      </c>
      <c r="M5" s="15">
        <v>9</v>
      </c>
      <c r="N5" s="15">
        <v>2</v>
      </c>
      <c r="O5" s="18">
        <v>2</v>
      </c>
      <c r="P5" s="18">
        <v>32</v>
      </c>
      <c r="Q5" s="18" t="s">
        <v>53</v>
      </c>
    </row>
    <row r="6" s="10" customFormat="1" ht="29" customHeight="1" spans="1:17">
      <c r="A6" s="15" t="s">
        <v>56</v>
      </c>
      <c r="B6" s="15" t="s">
        <v>57</v>
      </c>
      <c r="C6" s="15" t="s">
        <v>44</v>
      </c>
      <c r="D6" s="28" t="s">
        <v>4</v>
      </c>
      <c r="E6" s="15"/>
      <c r="F6" s="15">
        <v>9</v>
      </c>
      <c r="G6" s="15">
        <v>8</v>
      </c>
      <c r="H6" s="15">
        <v>6</v>
      </c>
      <c r="I6" s="15">
        <v>432</v>
      </c>
      <c r="J6" s="15" t="s">
        <v>58</v>
      </c>
      <c r="K6" s="15" t="s">
        <v>59</v>
      </c>
      <c r="L6" s="16" t="s">
        <v>60</v>
      </c>
      <c r="M6" s="15">
        <v>9</v>
      </c>
      <c r="N6" s="15">
        <v>3</v>
      </c>
      <c r="O6" s="15">
        <v>3</v>
      </c>
      <c r="P6" s="15">
        <v>81</v>
      </c>
      <c r="Q6" s="18" t="s">
        <v>53</v>
      </c>
    </row>
    <row r="7" s="52" customFormat="1" ht="96" customHeight="1" spans="1:14">
      <c r="A7" s="52" t="s">
        <v>61</v>
      </c>
      <c r="B7" s="62" t="s">
        <v>62</v>
      </c>
      <c r="C7" s="52" t="s">
        <v>63</v>
      </c>
      <c r="D7" s="28" t="s">
        <v>4</v>
      </c>
      <c r="E7" s="62" t="s">
        <v>64</v>
      </c>
      <c r="F7" s="52">
        <v>7</v>
      </c>
      <c r="G7" s="52">
        <v>3</v>
      </c>
      <c r="H7" s="52">
        <v>5</v>
      </c>
      <c r="I7" s="52">
        <v>105</v>
      </c>
      <c r="J7" s="62" t="s">
        <v>65</v>
      </c>
      <c r="K7" s="65" t="s">
        <v>47</v>
      </c>
      <c r="L7" s="61" t="s">
        <v>48</v>
      </c>
      <c r="M7" s="62"/>
      <c r="N7" s="62"/>
    </row>
    <row r="8" s="52" customFormat="1" ht="65" customHeight="1" spans="1:14">
      <c r="A8" s="52" t="s">
        <v>50</v>
      </c>
      <c r="B8" s="62" t="s">
        <v>66</v>
      </c>
      <c r="C8" s="52" t="s">
        <v>67</v>
      </c>
      <c r="D8" s="62" t="s">
        <v>5</v>
      </c>
      <c r="E8" s="60" t="s">
        <v>45</v>
      </c>
      <c r="F8" s="52">
        <v>9</v>
      </c>
      <c r="G8" s="52">
        <v>3</v>
      </c>
      <c r="H8" s="52">
        <v>8</v>
      </c>
      <c r="I8" s="52">
        <v>216</v>
      </c>
      <c r="J8" s="62" t="s">
        <v>68</v>
      </c>
      <c r="K8" s="65" t="s">
        <v>47</v>
      </c>
      <c r="L8" s="61" t="s">
        <v>48</v>
      </c>
      <c r="M8" s="62"/>
      <c r="N8" s="62"/>
    </row>
    <row r="9" s="52" customFormat="1" ht="23" customHeight="1" spans="1:17">
      <c r="A9" s="52" t="s">
        <v>69</v>
      </c>
      <c r="B9" s="62" t="s">
        <v>70</v>
      </c>
      <c r="C9" s="52" t="s">
        <v>71</v>
      </c>
      <c r="D9" s="62" t="s">
        <v>5</v>
      </c>
      <c r="E9" s="60" t="s">
        <v>45</v>
      </c>
      <c r="F9" s="52">
        <v>7</v>
      </c>
      <c r="G9" s="52">
        <v>7</v>
      </c>
      <c r="H9" s="52">
        <v>6</v>
      </c>
      <c r="I9" s="52">
        <v>294</v>
      </c>
      <c r="J9" s="62" t="s">
        <v>72</v>
      </c>
      <c r="K9" s="65" t="s">
        <v>59</v>
      </c>
      <c r="L9" s="65" t="s">
        <v>60</v>
      </c>
      <c r="M9" s="62"/>
      <c r="N9" s="62"/>
      <c r="Q9" s="52" t="s">
        <v>73</v>
      </c>
    </row>
    <row r="10" s="32" customFormat="1" ht="148.5" spans="1:15">
      <c r="A10" s="32" t="s">
        <v>74</v>
      </c>
      <c r="B10" s="45" t="s">
        <v>75</v>
      </c>
      <c r="C10" s="28" t="s">
        <v>37</v>
      </c>
      <c r="D10" s="28" t="s">
        <v>4</v>
      </c>
      <c r="E10" s="62" t="s">
        <v>76</v>
      </c>
      <c r="F10" s="52">
        <v>6</v>
      </c>
      <c r="G10" s="52">
        <v>3</v>
      </c>
      <c r="H10" s="52">
        <v>3</v>
      </c>
      <c r="I10" s="52">
        <v>54</v>
      </c>
      <c r="J10" s="45"/>
      <c r="K10" s="63" t="s">
        <v>47</v>
      </c>
      <c r="L10" s="28" t="s">
        <v>48</v>
      </c>
      <c r="M10" s="52"/>
      <c r="N10" s="52"/>
      <c r="O10" s="52"/>
    </row>
    <row r="11" s="32" customFormat="1" ht="198" spans="1:12">
      <c r="A11" s="32" t="s">
        <v>74</v>
      </c>
      <c r="B11" s="45" t="s">
        <v>77</v>
      </c>
      <c r="C11" s="28" t="s">
        <v>37</v>
      </c>
      <c r="D11" s="28" t="s">
        <v>4</v>
      </c>
      <c r="E11" s="62" t="s">
        <v>76</v>
      </c>
      <c r="F11" s="32">
        <v>8</v>
      </c>
      <c r="G11" s="32">
        <v>3</v>
      </c>
      <c r="H11" s="32">
        <v>3</v>
      </c>
      <c r="I11" s="32">
        <v>72</v>
      </c>
      <c r="J11" s="45"/>
      <c r="K11" s="63" t="s">
        <v>47</v>
      </c>
      <c r="L11" s="28" t="s">
        <v>48</v>
      </c>
    </row>
    <row r="12" s="32" customFormat="1" ht="148.5" spans="1:12">
      <c r="A12" s="32" t="s">
        <v>78</v>
      </c>
      <c r="B12" s="45" t="s">
        <v>79</v>
      </c>
      <c r="C12" s="28" t="s">
        <v>37</v>
      </c>
      <c r="D12" s="28" t="s">
        <v>4</v>
      </c>
      <c r="E12" s="62" t="s">
        <v>76</v>
      </c>
      <c r="F12" s="32">
        <v>8</v>
      </c>
      <c r="G12" s="32">
        <v>3</v>
      </c>
      <c r="H12" s="32">
        <v>3</v>
      </c>
      <c r="I12" s="32">
        <v>72</v>
      </c>
      <c r="J12" s="45"/>
      <c r="K12" s="63" t="s">
        <v>47</v>
      </c>
      <c r="L12" s="28" t="s">
        <v>48</v>
      </c>
    </row>
    <row r="13" s="32" customFormat="1" ht="132" spans="1:12">
      <c r="A13" s="32" t="s">
        <v>78</v>
      </c>
      <c r="B13" s="45" t="s">
        <v>80</v>
      </c>
      <c r="C13" s="28" t="s">
        <v>37</v>
      </c>
      <c r="D13" s="28" t="s">
        <v>4</v>
      </c>
      <c r="E13" s="62" t="s">
        <v>76</v>
      </c>
      <c r="F13" s="32">
        <v>8</v>
      </c>
      <c r="G13" s="32">
        <v>5</v>
      </c>
      <c r="H13" s="32">
        <v>3</v>
      </c>
      <c r="I13" s="32">
        <v>120</v>
      </c>
      <c r="J13" s="45"/>
      <c r="K13" s="63" t="s">
        <v>47</v>
      </c>
      <c r="L13" s="28" t="s">
        <v>48</v>
      </c>
    </row>
    <row r="14" s="32" customFormat="1" ht="132" spans="1:12">
      <c r="A14" s="32" t="s">
        <v>81</v>
      </c>
      <c r="B14" s="45" t="s">
        <v>82</v>
      </c>
      <c r="C14" s="32" t="s">
        <v>83</v>
      </c>
      <c r="D14" s="59" t="s">
        <v>9</v>
      </c>
      <c r="E14" s="62" t="s">
        <v>76</v>
      </c>
      <c r="F14" s="32">
        <v>8</v>
      </c>
      <c r="G14" s="32">
        <v>3</v>
      </c>
      <c r="H14" s="32">
        <v>3</v>
      </c>
      <c r="I14" s="32">
        <v>72</v>
      </c>
      <c r="J14" s="45"/>
      <c r="K14" s="63" t="s">
        <v>84</v>
      </c>
      <c r="L14" s="28" t="s">
        <v>85</v>
      </c>
    </row>
    <row r="15" s="53" customFormat="1" spans="2:15">
      <c r="B15" s="30"/>
      <c r="D15" s="30"/>
      <c r="E15" s="30"/>
      <c r="F15" s="56"/>
      <c r="G15" s="56"/>
      <c r="H15" s="56"/>
      <c r="J15" s="30"/>
      <c r="K15" s="66"/>
      <c r="L15" s="67"/>
      <c r="M15" s="56"/>
      <c r="N15" s="56"/>
      <c r="O15" s="56"/>
    </row>
    <row r="16" s="53" customFormat="1" spans="2:15">
      <c r="B16" s="30"/>
      <c r="D16" s="30"/>
      <c r="E16" s="30"/>
      <c r="F16" s="56"/>
      <c r="G16" s="56"/>
      <c r="H16" s="56"/>
      <c r="J16" s="30"/>
      <c r="K16" s="66"/>
      <c r="L16" s="67"/>
      <c r="M16" s="30"/>
      <c r="N16" s="30"/>
      <c r="O16" s="56"/>
    </row>
    <row r="17" s="53" customFormat="1" spans="2:15">
      <c r="B17" s="30"/>
      <c r="D17" s="30"/>
      <c r="E17" s="30"/>
      <c r="F17" s="56"/>
      <c r="G17" s="56"/>
      <c r="H17" s="56"/>
      <c r="J17" s="30"/>
      <c r="K17" s="66"/>
      <c r="L17" s="67"/>
      <c r="M17" s="30"/>
      <c r="N17" s="30"/>
      <c r="O17" s="56"/>
    </row>
    <row r="18" spans="9:16">
      <c r="I18" s="68"/>
      <c r="P18" s="68"/>
    </row>
  </sheetData>
  <sortState ref="A2:M210">
    <sortCondition ref="A1"/>
  </sortState>
  <dataValidations count="2">
    <dataValidation type="list" allowBlank="1" showInputMessage="1" showErrorMessage="1" sqref="D2">
      <formula1>"需求分析,产品设计,编码,测试设计,测试执行,需求交付,文档撰写,产品发布"</formula1>
    </dataValidation>
    <dataValidation type="list" allowBlank="1" showInputMessage="1" showErrorMessage="1" sqref="C15:C1048576">
      <formula1>#REF!</formula1>
    </dataValidation>
  </dataValidations>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48403"/>
  <sheetViews>
    <sheetView workbookViewId="0">
      <selection activeCell="D12" sqref="D12"/>
    </sheetView>
  </sheetViews>
  <sheetFormatPr defaultColWidth="9" defaultRowHeight="13.5"/>
  <cols>
    <col min="1" max="1" width="7" customWidth="1"/>
    <col min="2" max="2" width="43" style="11" customWidth="1"/>
    <col min="3" max="3" width="11.625" customWidth="1"/>
    <col min="4" max="4" width="9.875" style="11" customWidth="1"/>
    <col min="5" max="5" width="12.5" style="36" customWidth="1"/>
    <col min="6" max="6" width="11.625" style="36" customWidth="1"/>
    <col min="7" max="8" width="10.625" style="36" customWidth="1"/>
    <col min="9" max="9" width="9" style="37"/>
    <col min="10" max="10" width="12.375" style="38" customWidth="1"/>
    <col min="11" max="13" width="10.375" style="38" customWidth="1"/>
    <col min="16" max="16" width="12.625" customWidth="1"/>
    <col min="17" max="17" width="10.5" customWidth="1"/>
  </cols>
  <sheetData>
    <row r="1" s="1" customFormat="1" ht="30" customHeight="1" spans="1:17">
      <c r="A1" s="3" t="s">
        <v>20</v>
      </c>
      <c r="B1" s="3" t="s">
        <v>21</v>
      </c>
      <c r="C1" s="3" t="s">
        <v>22</v>
      </c>
      <c r="D1" s="3" t="s">
        <v>23</v>
      </c>
      <c r="E1" s="4" t="s">
        <v>24</v>
      </c>
      <c r="F1" s="4" t="s">
        <v>25</v>
      </c>
      <c r="G1" s="4" t="s">
        <v>26</v>
      </c>
      <c r="H1" s="4" t="s">
        <v>27</v>
      </c>
      <c r="I1" s="4" t="s">
        <v>28</v>
      </c>
      <c r="J1" s="3" t="s">
        <v>29</v>
      </c>
      <c r="K1" s="3" t="s">
        <v>30</v>
      </c>
      <c r="L1" s="3" t="s">
        <v>31</v>
      </c>
      <c r="M1" s="4" t="s">
        <v>25</v>
      </c>
      <c r="N1" s="4" t="s">
        <v>32</v>
      </c>
      <c r="O1" s="4" t="s">
        <v>27</v>
      </c>
      <c r="P1" s="4" t="s">
        <v>33</v>
      </c>
      <c r="Q1" s="4" t="s">
        <v>34</v>
      </c>
    </row>
    <row r="2" s="42" customFormat="1" ht="19" customHeight="1" spans="1:15">
      <c r="A2" s="28" t="s">
        <v>86</v>
      </c>
      <c r="B2" s="28" t="s">
        <v>87</v>
      </c>
      <c r="C2" s="28" t="s">
        <v>88</v>
      </c>
      <c r="D2" s="28" t="s">
        <v>4</v>
      </c>
      <c r="E2" s="28" t="s">
        <v>89</v>
      </c>
      <c r="F2" s="28">
        <v>9</v>
      </c>
      <c r="G2" s="28">
        <v>3</v>
      </c>
      <c r="H2" s="28">
        <v>6</v>
      </c>
      <c r="I2" s="42">
        <v>162</v>
      </c>
      <c r="J2" s="28"/>
      <c r="K2" s="28" t="s">
        <v>90</v>
      </c>
      <c r="L2" s="44" t="s">
        <v>85</v>
      </c>
      <c r="M2" s="28"/>
      <c r="N2" s="28"/>
      <c r="O2" s="28"/>
    </row>
    <row r="3" spans="5:9">
      <c r="E3"/>
      <c r="I3"/>
    </row>
    <row r="4" spans="5:9">
      <c r="E4"/>
      <c r="I4"/>
    </row>
    <row r="5" spans="5:9">
      <c r="E5"/>
      <c r="I5"/>
    </row>
    <row r="6" spans="5:9">
      <c r="E6"/>
      <c r="I6"/>
    </row>
    <row r="7" spans="5:9">
      <c r="E7"/>
      <c r="I7"/>
    </row>
    <row r="8" spans="5:9">
      <c r="E8"/>
      <c r="I8"/>
    </row>
    <row r="9" spans="5:9">
      <c r="E9"/>
      <c r="I9"/>
    </row>
    <row r="10" spans="5:9">
      <c r="E10"/>
      <c r="I10"/>
    </row>
    <row r="11" spans="5:9">
      <c r="E11"/>
      <c r="I11"/>
    </row>
    <row r="12" spans="5:9">
      <c r="E12"/>
      <c r="I12"/>
    </row>
    <row r="13" spans="5:9">
      <c r="E13"/>
      <c r="I13"/>
    </row>
    <row r="14" spans="5:9">
      <c r="E14"/>
      <c r="I14"/>
    </row>
    <row r="15" spans="5:9">
      <c r="E15"/>
      <c r="I15"/>
    </row>
    <row r="16" spans="5:9">
      <c r="E16"/>
      <c r="I16"/>
    </row>
    <row r="17" spans="5:9">
      <c r="E17"/>
      <c r="I17"/>
    </row>
    <row r="18" spans="5:9">
      <c r="E18"/>
      <c r="I18"/>
    </row>
    <row r="19" spans="5:9">
      <c r="E19"/>
      <c r="I19"/>
    </row>
    <row r="20" spans="5:9">
      <c r="E20"/>
      <c r="I20"/>
    </row>
    <row r="21" spans="5:9">
      <c r="E21"/>
      <c r="I21"/>
    </row>
    <row r="22" spans="5:9">
      <c r="E22"/>
      <c r="I22"/>
    </row>
    <row r="23" spans="5:9">
      <c r="E23"/>
      <c r="I23"/>
    </row>
    <row r="24" spans="5:9">
      <c r="E24"/>
      <c r="I24"/>
    </row>
    <row r="25" spans="5:9">
      <c r="E25"/>
      <c r="I25"/>
    </row>
    <row r="26" spans="5:9">
      <c r="E26"/>
      <c r="I26"/>
    </row>
    <row r="27" spans="5:9">
      <c r="E27"/>
      <c r="I27"/>
    </row>
    <row r="28" spans="5:9">
      <c r="E28"/>
      <c r="I28"/>
    </row>
    <row r="29" spans="5:9">
      <c r="E29"/>
      <c r="I29"/>
    </row>
    <row r="30" spans="5:9">
      <c r="E30"/>
      <c r="I30"/>
    </row>
    <row r="31" spans="5:9">
      <c r="E31"/>
      <c r="I31"/>
    </row>
    <row r="32" spans="5:9">
      <c r="E32"/>
      <c r="I32"/>
    </row>
    <row r="33" spans="5:9">
      <c r="E33"/>
      <c r="I33"/>
    </row>
    <row r="34" spans="5:9">
      <c r="E34"/>
      <c r="I34"/>
    </row>
    <row r="35" spans="5:9">
      <c r="E35"/>
      <c r="I35"/>
    </row>
    <row r="36" spans="5:9">
      <c r="E36"/>
      <c r="I36"/>
    </row>
    <row r="37" spans="5:9">
      <c r="E37"/>
      <c r="I37"/>
    </row>
    <row r="38" spans="5:9">
      <c r="E38"/>
      <c r="I38"/>
    </row>
    <row r="39" spans="5:9">
      <c r="E39"/>
      <c r="I39"/>
    </row>
    <row r="40" spans="5:9">
      <c r="E40"/>
      <c r="I40"/>
    </row>
    <row r="41" spans="5:9">
      <c r="E41"/>
      <c r="I41"/>
    </row>
    <row r="42" spans="5:9">
      <c r="E42"/>
      <c r="I42"/>
    </row>
    <row r="43" spans="5:9">
      <c r="E43"/>
      <c r="I43"/>
    </row>
    <row r="44" spans="5:9">
      <c r="E44"/>
      <c r="I44"/>
    </row>
    <row r="45" spans="5:9">
      <c r="E45"/>
      <c r="I45"/>
    </row>
    <row r="46" spans="5:9">
      <c r="E46"/>
      <c r="I46"/>
    </row>
    <row r="47" spans="5:9">
      <c r="E47"/>
      <c r="I47"/>
    </row>
    <row r="48" spans="5:9">
      <c r="E48"/>
      <c r="I48"/>
    </row>
    <row r="49" spans="5:9">
      <c r="E49"/>
      <c r="I49"/>
    </row>
    <row r="50" spans="5:9">
      <c r="E50"/>
      <c r="I50"/>
    </row>
    <row r="51" spans="5:9">
      <c r="E51"/>
      <c r="I51"/>
    </row>
    <row r="52" spans="5:9">
      <c r="E52"/>
      <c r="I52"/>
    </row>
    <row r="53" spans="5:9">
      <c r="E53"/>
      <c r="I53"/>
    </row>
    <row r="54" spans="5:9">
      <c r="E54"/>
      <c r="I54"/>
    </row>
    <row r="55" spans="5:9">
      <c r="E55"/>
      <c r="I55"/>
    </row>
    <row r="56" spans="5:9">
      <c r="E56"/>
      <c r="I56"/>
    </row>
    <row r="57" spans="5:9">
      <c r="E57"/>
      <c r="I57"/>
    </row>
    <row r="58" spans="5:9">
      <c r="E58"/>
      <c r="I58"/>
    </row>
    <row r="59" spans="5:9">
      <c r="E59"/>
      <c r="I59"/>
    </row>
    <row r="60" spans="5:9">
      <c r="E60"/>
      <c r="I60"/>
    </row>
    <row r="61" spans="5:9">
      <c r="E61"/>
      <c r="I61"/>
    </row>
    <row r="62" spans="5:9">
      <c r="E62"/>
      <c r="I62"/>
    </row>
    <row r="63" spans="5:9">
      <c r="E63"/>
      <c r="I63"/>
    </row>
    <row r="64" spans="5:9">
      <c r="E64"/>
      <c r="I64"/>
    </row>
    <row r="65" spans="5:9">
      <c r="E65"/>
      <c r="I65"/>
    </row>
    <row r="66" spans="5:9">
      <c r="E66"/>
      <c r="I66"/>
    </row>
    <row r="67" spans="5:9">
      <c r="E67"/>
      <c r="I67"/>
    </row>
    <row r="68" spans="5:9">
      <c r="E68"/>
      <c r="I68"/>
    </row>
    <row r="69" spans="5:9">
      <c r="E69"/>
      <c r="I69"/>
    </row>
    <row r="70" spans="5:9">
      <c r="E70"/>
      <c r="I70"/>
    </row>
    <row r="71" spans="5:9">
      <c r="E71"/>
      <c r="I71"/>
    </row>
    <row r="72" spans="5:9">
      <c r="E72"/>
      <c r="I72"/>
    </row>
    <row r="73" spans="5:9">
      <c r="E73"/>
      <c r="I73"/>
    </row>
    <row r="74" spans="5:9">
      <c r="E74"/>
      <c r="I74"/>
    </row>
    <row r="75" spans="5:9">
      <c r="E75"/>
      <c r="I75"/>
    </row>
    <row r="76" spans="5:9">
      <c r="E76"/>
      <c r="I76"/>
    </row>
    <row r="77" spans="5:9">
      <c r="E77"/>
      <c r="I77"/>
    </row>
    <row r="78" spans="5:9">
      <c r="E78"/>
      <c r="I78"/>
    </row>
    <row r="79" spans="5:9">
      <c r="E79"/>
      <c r="I79"/>
    </row>
    <row r="80" spans="5:9">
      <c r="E80"/>
      <c r="I80"/>
    </row>
    <row r="81" spans="5:9">
      <c r="E81"/>
      <c r="I81"/>
    </row>
    <row r="82" spans="5:9">
      <c r="E82"/>
      <c r="I82"/>
    </row>
    <row r="83" spans="5:9">
      <c r="E83"/>
      <c r="I83"/>
    </row>
    <row r="84" spans="5:9">
      <c r="E84"/>
      <c r="I84"/>
    </row>
    <row r="85" spans="5:9">
      <c r="E85"/>
      <c r="I85"/>
    </row>
    <row r="86" spans="5:9">
      <c r="E86"/>
      <c r="I86"/>
    </row>
    <row r="87" spans="5:9">
      <c r="E87"/>
      <c r="I87"/>
    </row>
    <row r="88" spans="5:9">
      <c r="E88"/>
      <c r="I88"/>
    </row>
    <row r="89" spans="5:9">
      <c r="E89"/>
      <c r="I89"/>
    </row>
    <row r="90" spans="5:9">
      <c r="E90"/>
      <c r="I90"/>
    </row>
    <row r="91" spans="5:9">
      <c r="E91"/>
      <c r="I91"/>
    </row>
    <row r="92" spans="5:9">
      <c r="E92"/>
      <c r="I92"/>
    </row>
    <row r="93" spans="5:9">
      <c r="E93"/>
      <c r="I93"/>
    </row>
    <row r="94" spans="5:9">
      <c r="E94"/>
      <c r="I94"/>
    </row>
    <row r="95" spans="5:9">
      <c r="E95"/>
      <c r="I95"/>
    </row>
    <row r="96" spans="5:9">
      <c r="E96"/>
      <c r="I96"/>
    </row>
    <row r="97" spans="5:9">
      <c r="E97"/>
      <c r="I97"/>
    </row>
    <row r="98" spans="5:9">
      <c r="E98"/>
      <c r="I98"/>
    </row>
    <row r="99" spans="5:9">
      <c r="E99"/>
      <c r="I99"/>
    </row>
    <row r="100" spans="5:9">
      <c r="E100"/>
      <c r="I100"/>
    </row>
    <row r="101" spans="5:9">
      <c r="E101"/>
      <c r="I101"/>
    </row>
    <row r="102" spans="5:9">
      <c r="E102"/>
      <c r="I102"/>
    </row>
    <row r="103" spans="5:9">
      <c r="E103"/>
      <c r="I103"/>
    </row>
    <row r="104" spans="5:9">
      <c r="E104"/>
      <c r="I104"/>
    </row>
    <row r="105" spans="5:9">
      <c r="E105"/>
      <c r="I105"/>
    </row>
    <row r="106" spans="5:9">
      <c r="E106"/>
      <c r="I106"/>
    </row>
    <row r="107" spans="5:9">
      <c r="E107"/>
      <c r="I107"/>
    </row>
    <row r="108" spans="5:9">
      <c r="E108"/>
      <c r="I108"/>
    </row>
    <row r="109" spans="5:9">
      <c r="E109"/>
      <c r="I109"/>
    </row>
    <row r="110" spans="5:9">
      <c r="E110"/>
      <c r="I110"/>
    </row>
    <row r="111" spans="5:9">
      <c r="E111"/>
      <c r="I111"/>
    </row>
    <row r="112" spans="5:9">
      <c r="E112"/>
      <c r="I112"/>
    </row>
    <row r="113" spans="5:9">
      <c r="E113"/>
      <c r="I113"/>
    </row>
    <row r="114" spans="5:9">
      <c r="E114"/>
      <c r="I114"/>
    </row>
    <row r="115" spans="5:9">
      <c r="E115"/>
      <c r="I115"/>
    </row>
    <row r="116" spans="5:9">
      <c r="E116"/>
      <c r="I116"/>
    </row>
    <row r="117" spans="5:9">
      <c r="E117"/>
      <c r="I117"/>
    </row>
    <row r="118" spans="5:9">
      <c r="E118"/>
      <c r="I118"/>
    </row>
    <row r="119" spans="5:9">
      <c r="E119"/>
      <c r="I119"/>
    </row>
    <row r="120" spans="5:9">
      <c r="E120"/>
      <c r="I120"/>
    </row>
    <row r="121" spans="5:9">
      <c r="E121"/>
      <c r="I121"/>
    </row>
    <row r="122" spans="5:9">
      <c r="E122"/>
      <c r="I122"/>
    </row>
    <row r="123" spans="5:9">
      <c r="E123"/>
      <c r="I123"/>
    </row>
    <row r="124" spans="5:9">
      <c r="E124"/>
      <c r="I124"/>
    </row>
    <row r="125" spans="5:9">
      <c r="E125"/>
      <c r="I125"/>
    </row>
    <row r="126" spans="5:9">
      <c r="E126"/>
      <c r="I126"/>
    </row>
    <row r="127" spans="5:9">
      <c r="E127"/>
      <c r="I127"/>
    </row>
    <row r="128" spans="5:9">
      <c r="E128"/>
      <c r="I128"/>
    </row>
    <row r="129" spans="5:9">
      <c r="E129"/>
      <c r="I129"/>
    </row>
    <row r="130" spans="5:9">
      <c r="E130"/>
      <c r="I130"/>
    </row>
    <row r="131" spans="5:9">
      <c r="E131"/>
      <c r="I131"/>
    </row>
    <row r="132" spans="5:9">
      <c r="E132"/>
      <c r="I132"/>
    </row>
    <row r="133" spans="5:9">
      <c r="E133"/>
      <c r="I133"/>
    </row>
    <row r="134" spans="5:9">
      <c r="E134"/>
      <c r="I134"/>
    </row>
    <row r="135" spans="5:9">
      <c r="E135"/>
      <c r="I135"/>
    </row>
    <row r="136" spans="5:9">
      <c r="E136"/>
      <c r="I136"/>
    </row>
    <row r="137" spans="5:9">
      <c r="E137"/>
      <c r="I137"/>
    </row>
    <row r="138" spans="5:9">
      <c r="E138"/>
      <c r="I138"/>
    </row>
    <row r="139" spans="5:9">
      <c r="E139"/>
      <c r="I139"/>
    </row>
    <row r="140" spans="5:9">
      <c r="E140"/>
      <c r="I140"/>
    </row>
    <row r="141" spans="5:9">
      <c r="E141"/>
      <c r="I141"/>
    </row>
    <row r="142" spans="5:9">
      <c r="E142"/>
      <c r="I142"/>
    </row>
    <row r="143" spans="5:9">
      <c r="E143"/>
      <c r="I143"/>
    </row>
    <row r="144" spans="5:9">
      <c r="E144"/>
      <c r="I144"/>
    </row>
    <row r="145" spans="5:9">
      <c r="E145"/>
      <c r="I145"/>
    </row>
    <row r="146" spans="5:9">
      <c r="E146"/>
      <c r="I146"/>
    </row>
    <row r="147" spans="5:9">
      <c r="E147"/>
      <c r="I147"/>
    </row>
    <row r="148" spans="5:9">
      <c r="E148"/>
      <c r="I148"/>
    </row>
    <row r="149" spans="5:9">
      <c r="E149"/>
      <c r="I149"/>
    </row>
    <row r="150" spans="5:9">
      <c r="E150"/>
      <c r="I150"/>
    </row>
    <row r="151" spans="5:9">
      <c r="E151"/>
      <c r="I151"/>
    </row>
    <row r="152" spans="5:9">
      <c r="E152"/>
      <c r="I152"/>
    </row>
    <row r="153" spans="5:9">
      <c r="E153"/>
      <c r="I153"/>
    </row>
    <row r="154" spans="5:9">
      <c r="E154"/>
      <c r="I154"/>
    </row>
    <row r="155" spans="5:9">
      <c r="E155"/>
      <c r="I155"/>
    </row>
    <row r="156" spans="5:9">
      <c r="E156"/>
      <c r="I156"/>
    </row>
    <row r="157" spans="5:9">
      <c r="E157"/>
      <c r="I157"/>
    </row>
    <row r="158" spans="5:9">
      <c r="E158"/>
      <c r="I158"/>
    </row>
    <row r="159" spans="5:9">
      <c r="E159"/>
      <c r="I159"/>
    </row>
    <row r="160" spans="5:9">
      <c r="E160"/>
      <c r="I160"/>
    </row>
    <row r="161" spans="5:9">
      <c r="E161"/>
      <c r="I161"/>
    </row>
    <row r="162" spans="5:9">
      <c r="E162"/>
      <c r="I162"/>
    </row>
    <row r="163" spans="5:9">
      <c r="E163"/>
      <c r="I163"/>
    </row>
    <row r="164" spans="5:9">
      <c r="E164"/>
      <c r="I164"/>
    </row>
    <row r="165" spans="5:9">
      <c r="E165"/>
      <c r="I165"/>
    </row>
    <row r="166" spans="5:9">
      <c r="E166"/>
      <c r="I166"/>
    </row>
    <row r="167" spans="5:9">
      <c r="E167"/>
      <c r="I167"/>
    </row>
    <row r="168" spans="5:9">
      <c r="E168"/>
      <c r="I168"/>
    </row>
    <row r="169" spans="5:9">
      <c r="E169"/>
      <c r="I169"/>
    </row>
    <row r="170" spans="5:9">
      <c r="E170"/>
      <c r="I170"/>
    </row>
    <row r="171" spans="5:9">
      <c r="E171"/>
      <c r="I171"/>
    </row>
    <row r="172" spans="5:9">
      <c r="E172"/>
      <c r="I172"/>
    </row>
    <row r="173" spans="5:9">
      <c r="E173"/>
      <c r="I173"/>
    </row>
    <row r="174" spans="5:9">
      <c r="E174"/>
      <c r="I174"/>
    </row>
    <row r="175" spans="5:9">
      <c r="E175"/>
      <c r="I175"/>
    </row>
    <row r="176" spans="5:9">
      <c r="E176"/>
      <c r="I176"/>
    </row>
    <row r="177" spans="5:9">
      <c r="E177"/>
      <c r="I177"/>
    </row>
    <row r="178" spans="5:9">
      <c r="E178"/>
      <c r="I178"/>
    </row>
    <row r="179" spans="5:9">
      <c r="E179"/>
      <c r="I179"/>
    </row>
    <row r="180" spans="5:9">
      <c r="E180"/>
      <c r="I180"/>
    </row>
    <row r="181" spans="5:9">
      <c r="E181"/>
      <c r="I181"/>
    </row>
    <row r="182" spans="5:9">
      <c r="E182"/>
      <c r="I182"/>
    </row>
    <row r="183" spans="5:9">
      <c r="E183"/>
      <c r="I183"/>
    </row>
    <row r="184" spans="5:9">
      <c r="E184"/>
      <c r="I184"/>
    </row>
    <row r="185" spans="5:9">
      <c r="E185"/>
      <c r="I185"/>
    </row>
    <row r="186" spans="5:9">
      <c r="E186"/>
      <c r="I186"/>
    </row>
    <row r="187" spans="5:9">
      <c r="E187"/>
      <c r="I187"/>
    </row>
    <row r="188" spans="5:9">
      <c r="E188"/>
      <c r="I188"/>
    </row>
    <row r="189" spans="5:9">
      <c r="E189"/>
      <c r="I189"/>
    </row>
    <row r="190" spans="5:9">
      <c r="E190"/>
      <c r="I190"/>
    </row>
    <row r="191" spans="5:9">
      <c r="E191"/>
      <c r="I191"/>
    </row>
    <row r="192" spans="5:9">
      <c r="E192"/>
      <c r="I192"/>
    </row>
    <row r="193" spans="5:9">
      <c r="E193"/>
      <c r="I193"/>
    </row>
    <row r="194" spans="5:9">
      <c r="E194"/>
      <c r="I194"/>
    </row>
    <row r="195" spans="5:9">
      <c r="E195"/>
      <c r="I195"/>
    </row>
    <row r="196" spans="5:9">
      <c r="E196"/>
      <c r="I196"/>
    </row>
    <row r="197" spans="5:9">
      <c r="E197"/>
      <c r="I197"/>
    </row>
    <row r="198" spans="5:9">
      <c r="E198"/>
      <c r="I198"/>
    </row>
    <row r="199" spans="5:9">
      <c r="E199"/>
      <c r="I199"/>
    </row>
    <row r="200" spans="5:9">
      <c r="E200"/>
      <c r="I200"/>
    </row>
    <row r="201" spans="5:9">
      <c r="E201"/>
      <c r="I201"/>
    </row>
    <row r="202" spans="5:9">
      <c r="E202"/>
      <c r="I202"/>
    </row>
    <row r="203" spans="5:9">
      <c r="E203"/>
      <c r="I203"/>
    </row>
    <row r="204" spans="5:9">
      <c r="E204"/>
      <c r="I204"/>
    </row>
    <row r="205" spans="5:9">
      <c r="E205"/>
      <c r="I205"/>
    </row>
    <row r="206" spans="5:9">
      <c r="E206"/>
      <c r="I206"/>
    </row>
    <row r="207" spans="5:9">
      <c r="E207"/>
      <c r="I207"/>
    </row>
    <row r="208" spans="5:9">
      <c r="E208"/>
      <c r="I208"/>
    </row>
    <row r="209" spans="5:9">
      <c r="E209"/>
      <c r="I209"/>
    </row>
    <row r="210" spans="5:9">
      <c r="E210"/>
      <c r="I210"/>
    </row>
    <row r="211" spans="5:9">
      <c r="E211"/>
      <c r="I211"/>
    </row>
    <row r="212" spans="5:9">
      <c r="E212"/>
      <c r="I212"/>
    </row>
    <row r="213" spans="5:9">
      <c r="E213"/>
      <c r="I213"/>
    </row>
    <row r="214" spans="5:9">
      <c r="E214"/>
      <c r="I214"/>
    </row>
    <row r="215" spans="5:9">
      <c r="E215"/>
      <c r="I215"/>
    </row>
    <row r="216" spans="5:9">
      <c r="E216"/>
      <c r="I216"/>
    </row>
    <row r="217" spans="5:9">
      <c r="E217"/>
      <c r="I217"/>
    </row>
    <row r="218" spans="5:9">
      <c r="E218"/>
      <c r="I218"/>
    </row>
    <row r="219" spans="5:9">
      <c r="E219"/>
      <c r="I219"/>
    </row>
    <row r="220" spans="5:9">
      <c r="E220"/>
      <c r="I220"/>
    </row>
    <row r="221" spans="5:9">
      <c r="E221"/>
      <c r="I221"/>
    </row>
    <row r="222" spans="5:9">
      <c r="E222"/>
      <c r="I222"/>
    </row>
    <row r="223" spans="5:9">
      <c r="E223"/>
      <c r="I223"/>
    </row>
    <row r="224" spans="5:9">
      <c r="E224"/>
      <c r="I224"/>
    </row>
    <row r="225" spans="5:9">
      <c r="E225"/>
      <c r="I225"/>
    </row>
    <row r="226" spans="5:9">
      <c r="E226"/>
      <c r="I226"/>
    </row>
    <row r="227" spans="5:9">
      <c r="E227"/>
      <c r="I227"/>
    </row>
    <row r="228" spans="5:9">
      <c r="E228"/>
      <c r="I228"/>
    </row>
    <row r="229" spans="5:9">
      <c r="E229"/>
      <c r="I229"/>
    </row>
    <row r="230" spans="5:9">
      <c r="E230"/>
      <c r="I230"/>
    </row>
    <row r="231" spans="5:9">
      <c r="E231"/>
      <c r="I231"/>
    </row>
    <row r="232" spans="5:9">
      <c r="E232"/>
      <c r="I232"/>
    </row>
    <row r="233" spans="5:9">
      <c r="E233"/>
      <c r="I233"/>
    </row>
    <row r="234" spans="5:9">
      <c r="E234"/>
      <c r="I234"/>
    </row>
    <row r="235" spans="5:9">
      <c r="E235"/>
      <c r="I235"/>
    </row>
    <row r="236" spans="5:9">
      <c r="E236"/>
      <c r="I236"/>
    </row>
    <row r="237" spans="5:9">
      <c r="E237"/>
      <c r="I237"/>
    </row>
    <row r="238" spans="5:9">
      <c r="E238"/>
      <c r="I238"/>
    </row>
    <row r="239" spans="5:9">
      <c r="E239"/>
      <c r="I239"/>
    </row>
    <row r="240" spans="5:9">
      <c r="E240"/>
      <c r="I240"/>
    </row>
    <row r="241" spans="5:9">
      <c r="E241"/>
      <c r="I241"/>
    </row>
    <row r="242" spans="5:9">
      <c r="E242"/>
      <c r="I242"/>
    </row>
    <row r="243" spans="5:9">
      <c r="E243"/>
      <c r="I243"/>
    </row>
    <row r="244" spans="5:9">
      <c r="E244"/>
      <c r="I244"/>
    </row>
    <row r="245" spans="5:9">
      <c r="E245"/>
      <c r="I245"/>
    </row>
    <row r="246" spans="5:9">
      <c r="E246"/>
      <c r="I246"/>
    </row>
    <row r="247" spans="5:9">
      <c r="E247"/>
      <c r="I247"/>
    </row>
    <row r="248" spans="5:9">
      <c r="E248"/>
      <c r="I248"/>
    </row>
    <row r="249" spans="5:9">
      <c r="E249"/>
      <c r="I249"/>
    </row>
    <row r="250" spans="5:9">
      <c r="E250"/>
      <c r="I250"/>
    </row>
    <row r="251" spans="5:9">
      <c r="E251"/>
      <c r="I251"/>
    </row>
    <row r="252" spans="5:9">
      <c r="E252"/>
      <c r="I252"/>
    </row>
    <row r="253" spans="5:9">
      <c r="E253"/>
      <c r="I253"/>
    </row>
    <row r="254" spans="5:9">
      <c r="E254"/>
      <c r="I254"/>
    </row>
    <row r="255" spans="5:9">
      <c r="E255"/>
      <c r="I255"/>
    </row>
    <row r="256" spans="5:9">
      <c r="E256"/>
      <c r="I256"/>
    </row>
    <row r="257" spans="5:9">
      <c r="E257"/>
      <c r="I257"/>
    </row>
    <row r="258" spans="5:9">
      <c r="E258"/>
      <c r="I258"/>
    </row>
    <row r="259" spans="5:9">
      <c r="E259"/>
      <c r="I259"/>
    </row>
    <row r="260" spans="5:9">
      <c r="E260"/>
      <c r="I260"/>
    </row>
    <row r="261" spans="5:9">
      <c r="E261"/>
      <c r="I261"/>
    </row>
    <row r="262" spans="5:9">
      <c r="E262"/>
      <c r="I262"/>
    </row>
    <row r="263" spans="5:9">
      <c r="E263"/>
      <c r="I263"/>
    </row>
    <row r="264" spans="5:9">
      <c r="E264"/>
      <c r="I264"/>
    </row>
    <row r="265" spans="5:9">
      <c r="E265"/>
      <c r="I265"/>
    </row>
    <row r="266" spans="5:9">
      <c r="E266"/>
      <c r="I266"/>
    </row>
    <row r="267" spans="5:9">
      <c r="E267"/>
      <c r="I267"/>
    </row>
    <row r="268" spans="5:9">
      <c r="E268"/>
      <c r="I268"/>
    </row>
    <row r="269" spans="5:9">
      <c r="E269"/>
      <c r="I269"/>
    </row>
    <row r="270" spans="5:9">
      <c r="E270"/>
      <c r="I270"/>
    </row>
    <row r="271" spans="5:9">
      <c r="E271"/>
      <c r="I271"/>
    </row>
    <row r="272" spans="5:9">
      <c r="E272"/>
      <c r="I272"/>
    </row>
    <row r="273" spans="5:9">
      <c r="E273"/>
      <c r="I273"/>
    </row>
    <row r="274" spans="5:9">
      <c r="E274"/>
      <c r="I274"/>
    </row>
    <row r="275" spans="5:9">
      <c r="E275"/>
      <c r="I275"/>
    </row>
    <row r="276" spans="5:9">
      <c r="E276"/>
      <c r="I276"/>
    </row>
    <row r="277" spans="5:9">
      <c r="E277"/>
      <c r="I277"/>
    </row>
    <row r="278" spans="5:9">
      <c r="E278"/>
      <c r="I278"/>
    </row>
    <row r="279" spans="5:9">
      <c r="E279"/>
      <c r="I279"/>
    </row>
    <row r="280" spans="5:9">
      <c r="E280"/>
      <c r="I280"/>
    </row>
    <row r="281" spans="5:9">
      <c r="E281"/>
      <c r="I281"/>
    </row>
    <row r="282" spans="5:9">
      <c r="E282"/>
      <c r="I282"/>
    </row>
    <row r="283" spans="5:9">
      <c r="E283"/>
      <c r="I283"/>
    </row>
    <row r="284" spans="5:9">
      <c r="E284"/>
      <c r="I284"/>
    </row>
    <row r="285" spans="5:9">
      <c r="E285"/>
      <c r="I285"/>
    </row>
    <row r="286" spans="5:9">
      <c r="E286"/>
      <c r="I286"/>
    </row>
    <row r="287" spans="5:9">
      <c r="E287"/>
      <c r="I287"/>
    </row>
    <row r="288" spans="5:9">
      <c r="E288"/>
      <c r="I288"/>
    </row>
    <row r="289" spans="5:9">
      <c r="E289"/>
      <c r="I289"/>
    </row>
    <row r="290" spans="5:9">
      <c r="E290"/>
      <c r="I290"/>
    </row>
    <row r="291" spans="5:9">
      <c r="E291"/>
      <c r="I291"/>
    </row>
    <row r="292" spans="5:9">
      <c r="E292"/>
      <c r="I292"/>
    </row>
    <row r="293" spans="5:9">
      <c r="E293"/>
      <c r="I293"/>
    </row>
    <row r="294" spans="5:9">
      <c r="E294"/>
      <c r="I294"/>
    </row>
    <row r="295" spans="5:9">
      <c r="E295"/>
      <c r="I295"/>
    </row>
    <row r="296" spans="5:9">
      <c r="E296"/>
      <c r="I296"/>
    </row>
    <row r="297" spans="5:9">
      <c r="E297"/>
      <c r="I297"/>
    </row>
    <row r="298" spans="5:9">
      <c r="E298"/>
      <c r="I298"/>
    </row>
    <row r="299" spans="5:9">
      <c r="E299"/>
      <c r="I299"/>
    </row>
    <row r="300" spans="5:9">
      <c r="E300"/>
      <c r="I300"/>
    </row>
    <row r="301" spans="5:9">
      <c r="E301"/>
      <c r="I301"/>
    </row>
    <row r="302" spans="5:9">
      <c r="E302"/>
      <c r="I302"/>
    </row>
    <row r="303" spans="5:9">
      <c r="E303"/>
      <c r="I303"/>
    </row>
    <row r="304" spans="5:9">
      <c r="E304"/>
      <c r="I304"/>
    </row>
    <row r="305" spans="5:9">
      <c r="E305"/>
      <c r="I305"/>
    </row>
    <row r="306" spans="5:9">
      <c r="E306"/>
      <c r="I306"/>
    </row>
    <row r="307" spans="5:9">
      <c r="E307"/>
      <c r="I307"/>
    </row>
    <row r="308" spans="5:9">
      <c r="E308"/>
      <c r="I308"/>
    </row>
    <row r="309" spans="5:9">
      <c r="E309"/>
      <c r="I309"/>
    </row>
    <row r="310" spans="5:9">
      <c r="E310"/>
      <c r="I310"/>
    </row>
    <row r="311" spans="5:9">
      <c r="E311"/>
      <c r="I311"/>
    </row>
    <row r="312" spans="5:9">
      <c r="E312"/>
      <c r="I312"/>
    </row>
    <row r="313" spans="5:9">
      <c r="E313"/>
      <c r="I313"/>
    </row>
    <row r="314" spans="5:9">
      <c r="E314"/>
      <c r="I314"/>
    </row>
    <row r="315" spans="5:9">
      <c r="E315"/>
      <c r="I315"/>
    </row>
    <row r="316" spans="5:9">
      <c r="E316"/>
      <c r="I316"/>
    </row>
    <row r="317" spans="5:9">
      <c r="E317"/>
      <c r="I317"/>
    </row>
    <row r="318" spans="5:9">
      <c r="E318"/>
      <c r="I318"/>
    </row>
    <row r="319" spans="5:9">
      <c r="E319"/>
      <c r="I319"/>
    </row>
    <row r="320" spans="5:9">
      <c r="E320"/>
      <c r="I320"/>
    </row>
    <row r="321" spans="5:9">
      <c r="E321"/>
      <c r="I321"/>
    </row>
    <row r="322" spans="5:9">
      <c r="E322"/>
      <c r="I322"/>
    </row>
    <row r="323" spans="5:9">
      <c r="E323"/>
      <c r="I323"/>
    </row>
    <row r="324" spans="5:9">
      <c r="E324"/>
      <c r="I324"/>
    </row>
    <row r="325" spans="5:9">
      <c r="E325"/>
      <c r="I325"/>
    </row>
    <row r="326" spans="5:9">
      <c r="E326"/>
      <c r="I326"/>
    </row>
    <row r="327" spans="5:9">
      <c r="E327"/>
      <c r="I327"/>
    </row>
    <row r="328" spans="5:9">
      <c r="E328"/>
      <c r="I328"/>
    </row>
    <row r="329" spans="5:9">
      <c r="E329"/>
      <c r="I329"/>
    </row>
    <row r="330" spans="5:9">
      <c r="E330"/>
      <c r="I330"/>
    </row>
    <row r="331" spans="5:9">
      <c r="E331"/>
      <c r="I331"/>
    </row>
    <row r="332" spans="5:9">
      <c r="E332"/>
      <c r="I332"/>
    </row>
    <row r="333" spans="5:9">
      <c r="E333"/>
      <c r="I333"/>
    </row>
    <row r="334" spans="5:9">
      <c r="E334"/>
      <c r="I334"/>
    </row>
    <row r="335" spans="5:9">
      <c r="E335"/>
      <c r="I335"/>
    </row>
    <row r="336" spans="5:9">
      <c r="E336"/>
      <c r="I336"/>
    </row>
    <row r="337" spans="5:9">
      <c r="E337"/>
      <c r="I337"/>
    </row>
    <row r="338" spans="5:9">
      <c r="E338"/>
      <c r="I338"/>
    </row>
    <row r="339" spans="5:9">
      <c r="E339"/>
      <c r="I339"/>
    </row>
    <row r="340" spans="5:9">
      <c r="E340"/>
      <c r="I340"/>
    </row>
    <row r="341" spans="5:9">
      <c r="E341"/>
      <c r="I341"/>
    </row>
    <row r="342" spans="5:9">
      <c r="E342"/>
      <c r="I342"/>
    </row>
    <row r="343" spans="5:9">
      <c r="E343"/>
      <c r="I343"/>
    </row>
    <row r="344" spans="5:9">
      <c r="E344"/>
      <c r="I344"/>
    </row>
    <row r="345" spans="5:9">
      <c r="E345"/>
      <c r="I345"/>
    </row>
    <row r="346" spans="5:9">
      <c r="E346"/>
      <c r="I346"/>
    </row>
    <row r="347" spans="5:9">
      <c r="E347"/>
      <c r="I347"/>
    </row>
    <row r="348" spans="5:9">
      <c r="E348"/>
      <c r="I348"/>
    </row>
    <row r="349" spans="5:9">
      <c r="E349"/>
      <c r="I349"/>
    </row>
    <row r="350" spans="5:9">
      <c r="E350"/>
      <c r="I350"/>
    </row>
    <row r="351" spans="5:9">
      <c r="E351"/>
      <c r="I351"/>
    </row>
    <row r="352" spans="5:9">
      <c r="E352"/>
      <c r="I352"/>
    </row>
    <row r="353" spans="5:9">
      <c r="E353"/>
      <c r="I353"/>
    </row>
    <row r="354" spans="5:9">
      <c r="E354"/>
      <c r="I354"/>
    </row>
    <row r="355" spans="5:9">
      <c r="E355"/>
      <c r="I355"/>
    </row>
    <row r="356" spans="5:9">
      <c r="E356"/>
      <c r="I356"/>
    </row>
    <row r="357" spans="5:9">
      <c r="E357"/>
      <c r="I357"/>
    </row>
    <row r="358" spans="5:9">
      <c r="E358"/>
      <c r="I358"/>
    </row>
    <row r="359" spans="5:9">
      <c r="E359"/>
      <c r="I359"/>
    </row>
    <row r="360" spans="5:9">
      <c r="E360"/>
      <c r="I360"/>
    </row>
    <row r="361" spans="5:9">
      <c r="E361"/>
      <c r="I361"/>
    </row>
    <row r="362" spans="5:9">
      <c r="E362"/>
      <c r="I362"/>
    </row>
    <row r="363" spans="5:9">
      <c r="E363"/>
      <c r="I363"/>
    </row>
    <row r="364" spans="5:9">
      <c r="E364"/>
      <c r="I364"/>
    </row>
    <row r="365" spans="5:9">
      <c r="E365"/>
      <c r="I365"/>
    </row>
    <row r="366" spans="5:9">
      <c r="E366"/>
      <c r="I366"/>
    </row>
    <row r="367" spans="5:9">
      <c r="E367"/>
      <c r="I367"/>
    </row>
    <row r="368" spans="5:9">
      <c r="E368"/>
      <c r="I368"/>
    </row>
    <row r="369" spans="5:9">
      <c r="E369"/>
      <c r="I369"/>
    </row>
    <row r="370" spans="5:9">
      <c r="E370"/>
      <c r="I370"/>
    </row>
    <row r="371" spans="5:9">
      <c r="E371"/>
      <c r="I371"/>
    </row>
    <row r="372" spans="5:9">
      <c r="E372"/>
      <c r="I372"/>
    </row>
    <row r="373" spans="5:9">
      <c r="E373"/>
      <c r="I373"/>
    </row>
    <row r="374" spans="5:9">
      <c r="E374"/>
      <c r="I374"/>
    </row>
    <row r="375" spans="5:9">
      <c r="E375"/>
      <c r="I375"/>
    </row>
    <row r="376" spans="5:9">
      <c r="E376"/>
      <c r="I376"/>
    </row>
    <row r="377" spans="5:9">
      <c r="E377"/>
      <c r="I377"/>
    </row>
    <row r="378" spans="5:9">
      <c r="E378"/>
      <c r="I378"/>
    </row>
    <row r="379" spans="5:9">
      <c r="E379"/>
      <c r="I379"/>
    </row>
    <row r="380" spans="5:9">
      <c r="E380"/>
      <c r="I380"/>
    </row>
    <row r="381" spans="5:9">
      <c r="E381"/>
      <c r="I381"/>
    </row>
    <row r="382" spans="5:9">
      <c r="E382"/>
      <c r="I382"/>
    </row>
    <row r="383" spans="5:9">
      <c r="E383"/>
      <c r="I383"/>
    </row>
    <row r="384" spans="5:9">
      <c r="E384"/>
      <c r="I384"/>
    </row>
    <row r="385" spans="5:9">
      <c r="E385"/>
      <c r="I385"/>
    </row>
    <row r="386" spans="5:9">
      <c r="E386"/>
      <c r="I386"/>
    </row>
    <row r="387" spans="5:9">
      <c r="E387"/>
      <c r="I387"/>
    </row>
    <row r="388" spans="5:9">
      <c r="E388"/>
      <c r="I388"/>
    </row>
    <row r="389" spans="5:9">
      <c r="E389"/>
      <c r="I389"/>
    </row>
    <row r="390" spans="5:9">
      <c r="E390"/>
      <c r="I390"/>
    </row>
    <row r="391" spans="5:9">
      <c r="E391"/>
      <c r="I391"/>
    </row>
    <row r="392" spans="5:9">
      <c r="E392"/>
      <c r="I392"/>
    </row>
    <row r="393" spans="5:9">
      <c r="E393"/>
      <c r="I393"/>
    </row>
    <row r="394" spans="5:9">
      <c r="E394"/>
      <c r="I394"/>
    </row>
    <row r="395" spans="5:9">
      <c r="E395"/>
      <c r="I395"/>
    </row>
    <row r="396" spans="5:9">
      <c r="E396"/>
      <c r="I396"/>
    </row>
    <row r="397" spans="5:9">
      <c r="E397"/>
      <c r="I397"/>
    </row>
    <row r="398" spans="5:9">
      <c r="E398"/>
      <c r="I398"/>
    </row>
    <row r="399" spans="5:9">
      <c r="E399"/>
      <c r="I399"/>
    </row>
    <row r="400" spans="5:9">
      <c r="E400"/>
      <c r="I400"/>
    </row>
    <row r="401" spans="5:9">
      <c r="E401"/>
      <c r="I401"/>
    </row>
    <row r="402" spans="5:9">
      <c r="E402"/>
      <c r="I402"/>
    </row>
    <row r="403" spans="5:9">
      <c r="E403"/>
      <c r="I403"/>
    </row>
    <row r="404" spans="5:9">
      <c r="E404"/>
      <c r="I404"/>
    </row>
    <row r="405" spans="5:9">
      <c r="E405"/>
      <c r="I405"/>
    </row>
    <row r="406" spans="5:9">
      <c r="E406"/>
      <c r="I406"/>
    </row>
    <row r="407" spans="5:9">
      <c r="E407"/>
      <c r="I407"/>
    </row>
    <row r="408" spans="5:9">
      <c r="E408"/>
      <c r="I408"/>
    </row>
    <row r="409" spans="5:9">
      <c r="E409"/>
      <c r="I409"/>
    </row>
    <row r="410" spans="5:9">
      <c r="E410"/>
      <c r="I410"/>
    </row>
    <row r="411" spans="5:9">
      <c r="E411"/>
      <c r="I411"/>
    </row>
    <row r="412" spans="5:9">
      <c r="E412"/>
      <c r="I412"/>
    </row>
    <row r="413" spans="5:9">
      <c r="E413"/>
      <c r="I413"/>
    </row>
    <row r="414" spans="5:9">
      <c r="E414"/>
      <c r="I414"/>
    </row>
    <row r="415" spans="5:9">
      <c r="E415"/>
      <c r="I415"/>
    </row>
    <row r="416" spans="5:9">
      <c r="E416"/>
      <c r="I416"/>
    </row>
    <row r="417" spans="5:9">
      <c r="E417"/>
      <c r="I417"/>
    </row>
    <row r="418" spans="5:9">
      <c r="E418"/>
      <c r="I418"/>
    </row>
    <row r="419" spans="5:9">
      <c r="E419"/>
      <c r="I419"/>
    </row>
    <row r="420" spans="5:9">
      <c r="E420"/>
      <c r="I420"/>
    </row>
    <row r="421" spans="5:9">
      <c r="E421"/>
      <c r="I421"/>
    </row>
    <row r="422" spans="5:9">
      <c r="E422"/>
      <c r="I422"/>
    </row>
    <row r="423" spans="5:9">
      <c r="E423"/>
      <c r="I423"/>
    </row>
    <row r="424" spans="5:9">
      <c r="E424"/>
      <c r="I424"/>
    </row>
    <row r="425" spans="5:9">
      <c r="E425"/>
      <c r="I425"/>
    </row>
    <row r="426" spans="5:9">
      <c r="E426"/>
      <c r="I426"/>
    </row>
    <row r="427" spans="5:9">
      <c r="E427"/>
      <c r="I427"/>
    </row>
    <row r="428" spans="5:9">
      <c r="E428"/>
      <c r="I428"/>
    </row>
    <row r="429" spans="5:9">
      <c r="E429"/>
      <c r="I429"/>
    </row>
    <row r="430" spans="5:9">
      <c r="E430"/>
      <c r="I430"/>
    </row>
    <row r="431" spans="5:9">
      <c r="E431"/>
      <c r="I431"/>
    </row>
    <row r="432" spans="5:9">
      <c r="E432"/>
      <c r="I432"/>
    </row>
    <row r="433" spans="5:9">
      <c r="E433"/>
      <c r="I433"/>
    </row>
    <row r="434" spans="5:9">
      <c r="E434"/>
      <c r="I434"/>
    </row>
    <row r="435" spans="5:9">
      <c r="E435"/>
      <c r="I435"/>
    </row>
    <row r="436" spans="5:9">
      <c r="E436"/>
      <c r="I436"/>
    </row>
    <row r="437" spans="5:9">
      <c r="E437"/>
      <c r="I437"/>
    </row>
    <row r="438" spans="5:9">
      <c r="E438"/>
      <c r="I438"/>
    </row>
    <row r="439" spans="5:9">
      <c r="E439"/>
      <c r="I439"/>
    </row>
    <row r="440" spans="5:9">
      <c r="E440"/>
      <c r="I440"/>
    </row>
    <row r="441" spans="5:9">
      <c r="E441"/>
      <c r="I441"/>
    </row>
    <row r="442" spans="5:9">
      <c r="E442"/>
      <c r="I442"/>
    </row>
    <row r="443" spans="5:9">
      <c r="E443"/>
      <c r="I443"/>
    </row>
    <row r="444" spans="5:9">
      <c r="E444"/>
      <c r="I444"/>
    </row>
    <row r="445" spans="5:9">
      <c r="E445"/>
      <c r="I445"/>
    </row>
    <row r="446" spans="5:9">
      <c r="E446"/>
      <c r="I446"/>
    </row>
    <row r="447" spans="5:9">
      <c r="E447"/>
      <c r="I447"/>
    </row>
    <row r="448" spans="5:9">
      <c r="E448"/>
      <c r="I448"/>
    </row>
    <row r="449" spans="5:9">
      <c r="E449"/>
      <c r="I449"/>
    </row>
    <row r="450" spans="5:9">
      <c r="E450"/>
      <c r="I450"/>
    </row>
    <row r="451" spans="5:9">
      <c r="E451"/>
      <c r="I451"/>
    </row>
    <row r="452" spans="5:9">
      <c r="E452"/>
      <c r="I452"/>
    </row>
    <row r="453" spans="5:9">
      <c r="E453"/>
      <c r="I453"/>
    </row>
    <row r="454" spans="5:9">
      <c r="E454"/>
      <c r="I454"/>
    </row>
    <row r="455" spans="5:9">
      <c r="E455"/>
      <c r="I455"/>
    </row>
    <row r="456" spans="5:9">
      <c r="E456"/>
      <c r="I456"/>
    </row>
    <row r="457" spans="5:9">
      <c r="E457"/>
      <c r="I457"/>
    </row>
    <row r="458" spans="5:9">
      <c r="E458"/>
      <c r="I458"/>
    </row>
    <row r="459" spans="5:9">
      <c r="E459"/>
      <c r="I459"/>
    </row>
    <row r="460" spans="5:9">
      <c r="E460"/>
      <c r="I460"/>
    </row>
    <row r="461" spans="5:9">
      <c r="E461"/>
      <c r="I461"/>
    </row>
    <row r="462" spans="5:9">
      <c r="E462"/>
      <c r="I462"/>
    </row>
    <row r="463" spans="5:9">
      <c r="E463"/>
      <c r="I463"/>
    </row>
    <row r="464" spans="5:9">
      <c r="E464"/>
      <c r="I464"/>
    </row>
    <row r="465" spans="5:9">
      <c r="E465"/>
      <c r="I465"/>
    </row>
    <row r="466" spans="5:9">
      <c r="E466"/>
      <c r="I466"/>
    </row>
    <row r="467" spans="5:9">
      <c r="E467"/>
      <c r="I467"/>
    </row>
    <row r="468" spans="5:9">
      <c r="E468"/>
      <c r="I468"/>
    </row>
    <row r="469" spans="5:9">
      <c r="E469"/>
      <c r="I469"/>
    </row>
    <row r="470" spans="5:9">
      <c r="E470"/>
      <c r="I470"/>
    </row>
    <row r="471" spans="5:9">
      <c r="E471"/>
      <c r="I471"/>
    </row>
    <row r="472" spans="5:9">
      <c r="E472"/>
      <c r="I472"/>
    </row>
    <row r="473" spans="5:9">
      <c r="E473"/>
      <c r="I473"/>
    </row>
    <row r="474" spans="5:9">
      <c r="E474"/>
      <c r="I474"/>
    </row>
    <row r="475" spans="5:9">
      <c r="E475"/>
      <c r="I475"/>
    </row>
    <row r="476" spans="5:9">
      <c r="E476"/>
      <c r="I476"/>
    </row>
    <row r="477" spans="5:9">
      <c r="E477"/>
      <c r="I477"/>
    </row>
    <row r="478" spans="5:9">
      <c r="E478"/>
      <c r="I478"/>
    </row>
    <row r="479" spans="5:9">
      <c r="E479"/>
      <c r="I479"/>
    </row>
    <row r="480" spans="5:9">
      <c r="E480"/>
      <c r="I480"/>
    </row>
    <row r="481" spans="5:9">
      <c r="E481"/>
      <c r="I481"/>
    </row>
    <row r="482" spans="5:9">
      <c r="E482"/>
      <c r="I482"/>
    </row>
    <row r="483" spans="5:9">
      <c r="E483"/>
      <c r="I483"/>
    </row>
    <row r="484" spans="5:9">
      <c r="E484"/>
      <c r="I484"/>
    </row>
    <row r="485" spans="5:9">
      <c r="E485"/>
      <c r="I485"/>
    </row>
    <row r="486" spans="5:9">
      <c r="E486"/>
      <c r="I486"/>
    </row>
    <row r="487" spans="5:9">
      <c r="E487"/>
      <c r="I487"/>
    </row>
    <row r="488" spans="5:9">
      <c r="E488"/>
      <c r="I488"/>
    </row>
    <row r="489" spans="5:9">
      <c r="E489"/>
      <c r="I489"/>
    </row>
    <row r="490" spans="5:9">
      <c r="E490"/>
      <c r="I490"/>
    </row>
    <row r="491" spans="5:9">
      <c r="E491"/>
      <c r="I491"/>
    </row>
    <row r="492" spans="5:9">
      <c r="E492"/>
      <c r="I492"/>
    </row>
    <row r="493" spans="5:9">
      <c r="E493"/>
      <c r="I493"/>
    </row>
    <row r="494" spans="5:9">
      <c r="E494"/>
      <c r="I494"/>
    </row>
    <row r="495" spans="5:9">
      <c r="E495"/>
      <c r="I495"/>
    </row>
    <row r="496" spans="5:9">
      <c r="E496"/>
      <c r="I496"/>
    </row>
    <row r="1048396" ht="16.5" spans="7:8">
      <c r="G1048396" s="49"/>
      <c r="H1048396" s="49"/>
    </row>
    <row r="1048397" ht="16.5" spans="7:8">
      <c r="G1048397" s="16"/>
      <c r="H1048397" s="50"/>
    </row>
    <row r="1048398" ht="16.5" spans="7:8">
      <c r="G1048398" s="16"/>
      <c r="H1048398" s="50"/>
    </row>
    <row r="1048399" ht="16.5" spans="7:8">
      <c r="G1048399" s="16"/>
      <c r="H1048399" s="50"/>
    </row>
    <row r="1048400" ht="16.5" spans="7:8">
      <c r="G1048400" s="16"/>
      <c r="H1048400" s="50"/>
    </row>
    <row r="1048401" ht="16.5" spans="7:8">
      <c r="G1048401" s="16"/>
      <c r="H1048401" s="50"/>
    </row>
    <row r="1048402" ht="16.5" spans="7:8">
      <c r="G1048402" s="16"/>
      <c r="H1048402" s="50"/>
    </row>
    <row r="1048403" ht="16.5" spans="7:8">
      <c r="G1048403" s="16"/>
      <c r="H1048403" s="50"/>
    </row>
  </sheetData>
  <dataValidations count="1">
    <dataValidation type="list" allowBlank="1" showInputMessage="1" showErrorMessage="1" sqref="D1 D2">
      <formula1>"需求分析,产品设计,编码,测试设计,测试执行,需求交付,文档撰写,产品发布"</formula1>
    </dataValidation>
  </dataValidations>
  <pageMargins left="0.699305555555556" right="0.699305555555556"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
  <sheetViews>
    <sheetView workbookViewId="0">
      <selection activeCell="C2" sqref="C2"/>
    </sheetView>
  </sheetViews>
  <sheetFormatPr defaultColWidth="9" defaultRowHeight="13.5" outlineLevelRow="5"/>
  <cols>
    <col min="2" max="2" width="53.875" style="11" customWidth="1"/>
    <col min="3" max="3" width="13.25" customWidth="1"/>
    <col min="4" max="4" width="9.25" style="11" customWidth="1"/>
    <col min="5" max="5" width="15.375" style="36" customWidth="1"/>
    <col min="6" max="6" width="8.125" style="36" customWidth="1"/>
    <col min="7" max="7" width="7.5" style="36" customWidth="1"/>
    <col min="8" max="8" width="7.375" style="36" customWidth="1"/>
    <col min="9" max="9" width="6.375" style="37" customWidth="1"/>
    <col min="10" max="10" width="16.875" style="25" customWidth="1"/>
    <col min="11" max="11" width="11" style="38" customWidth="1"/>
    <col min="12" max="12" width="6" style="38" customWidth="1"/>
    <col min="13" max="13" width="10.625" style="25" customWidth="1"/>
    <col min="14" max="14" width="9" style="36"/>
    <col min="15" max="15" width="8.125" style="36" customWidth="1"/>
    <col min="16" max="16" width="14.875" style="37" customWidth="1"/>
    <col min="17" max="17" width="13.625" style="37" customWidth="1"/>
  </cols>
  <sheetData>
    <row r="1" s="1" customFormat="1" ht="23" customHeight="1" spans="1:17">
      <c r="A1" s="3" t="s">
        <v>20</v>
      </c>
      <c r="B1" s="3" t="s">
        <v>21</v>
      </c>
      <c r="C1" s="3" t="s">
        <v>22</v>
      </c>
      <c r="D1" s="3" t="s">
        <v>23</v>
      </c>
      <c r="E1" s="39" t="s">
        <v>24</v>
      </c>
      <c r="F1" s="4" t="s">
        <v>25</v>
      </c>
      <c r="G1" s="4" t="s">
        <v>26</v>
      </c>
      <c r="H1" s="4" t="s">
        <v>27</v>
      </c>
      <c r="I1" s="4" t="s">
        <v>28</v>
      </c>
      <c r="J1" s="3" t="s">
        <v>29</v>
      </c>
      <c r="K1" s="3" t="s">
        <v>30</v>
      </c>
      <c r="L1" s="3" t="s">
        <v>31</v>
      </c>
      <c r="M1" s="4" t="s">
        <v>25</v>
      </c>
      <c r="N1" s="4" t="s">
        <v>32</v>
      </c>
      <c r="O1" s="4" t="s">
        <v>27</v>
      </c>
      <c r="P1" s="4" t="s">
        <v>33</v>
      </c>
      <c r="Q1" s="4" t="s">
        <v>34</v>
      </c>
    </row>
    <row r="2" s="34" customFormat="1" ht="99" spans="1:15">
      <c r="A2" s="40" t="s">
        <v>91</v>
      </c>
      <c r="B2" s="28" t="s">
        <v>92</v>
      </c>
      <c r="C2" s="41" t="s">
        <v>93</v>
      </c>
      <c r="D2" s="28" t="s">
        <v>4</v>
      </c>
      <c r="E2" s="42" t="s">
        <v>94</v>
      </c>
      <c r="F2" s="43">
        <v>9</v>
      </c>
      <c r="G2" s="40">
        <v>6</v>
      </c>
      <c r="H2" s="40">
        <v>6</v>
      </c>
      <c r="I2" s="34">
        <v>324</v>
      </c>
      <c r="J2" s="40" t="s">
        <v>95</v>
      </c>
      <c r="K2" s="40" t="s">
        <v>96</v>
      </c>
      <c r="L2" s="40" t="s">
        <v>97</v>
      </c>
      <c r="M2" s="43"/>
      <c r="N2" s="40"/>
      <c r="O2" s="40"/>
    </row>
    <row r="3" s="35" customFormat="1" ht="33" spans="1:17">
      <c r="A3" s="44" t="s">
        <v>98</v>
      </c>
      <c r="B3" s="45" t="s">
        <v>99</v>
      </c>
      <c r="C3" s="41" t="s">
        <v>93</v>
      </c>
      <c r="D3" s="28" t="s">
        <v>5</v>
      </c>
      <c r="E3" s="35" t="s">
        <v>100</v>
      </c>
      <c r="F3" s="35">
        <v>8</v>
      </c>
      <c r="G3" s="35">
        <v>3</v>
      </c>
      <c r="H3" s="35">
        <v>5</v>
      </c>
      <c r="I3" s="35">
        <v>120</v>
      </c>
      <c r="J3" s="35" t="s">
        <v>101</v>
      </c>
      <c r="K3" s="44" t="s">
        <v>102</v>
      </c>
      <c r="L3" s="46" t="s">
        <v>97</v>
      </c>
      <c r="N3" s="10"/>
      <c r="O3" s="10"/>
      <c r="P3" s="10"/>
      <c r="Q3" s="10"/>
    </row>
    <row r="4" s="35" customFormat="1" ht="33" spans="1:17">
      <c r="A4" s="40" t="s">
        <v>91</v>
      </c>
      <c r="B4" s="45" t="s">
        <v>103</v>
      </c>
      <c r="C4" s="41" t="s">
        <v>93</v>
      </c>
      <c r="D4" s="28" t="s">
        <v>5</v>
      </c>
      <c r="E4" s="35" t="s">
        <v>100</v>
      </c>
      <c r="F4" s="35">
        <v>8</v>
      </c>
      <c r="G4" s="35">
        <v>3</v>
      </c>
      <c r="H4" s="35">
        <v>5</v>
      </c>
      <c r="I4" s="35">
        <v>120</v>
      </c>
      <c r="J4" s="35" t="s">
        <v>101</v>
      </c>
      <c r="K4" s="44" t="s">
        <v>102</v>
      </c>
      <c r="L4" s="46" t="s">
        <v>97</v>
      </c>
      <c r="N4" s="10"/>
      <c r="O4" s="10"/>
      <c r="P4" s="10"/>
      <c r="Q4" s="10"/>
    </row>
    <row r="5" s="35" customFormat="1" ht="33" spans="1:17">
      <c r="A5" s="35" t="s">
        <v>104</v>
      </c>
      <c r="B5" s="45" t="s">
        <v>105</v>
      </c>
      <c r="C5" s="41" t="s">
        <v>93</v>
      </c>
      <c r="D5" s="28" t="s">
        <v>4</v>
      </c>
      <c r="E5" s="35" t="s">
        <v>100</v>
      </c>
      <c r="F5" s="35">
        <v>8</v>
      </c>
      <c r="G5" s="35">
        <v>3</v>
      </c>
      <c r="H5" s="35">
        <v>5</v>
      </c>
      <c r="I5" s="35">
        <v>120</v>
      </c>
      <c r="J5" s="35" t="s">
        <v>106</v>
      </c>
      <c r="K5" s="44" t="s">
        <v>102</v>
      </c>
      <c r="L5" s="46" t="s">
        <v>97</v>
      </c>
      <c r="N5" s="10"/>
      <c r="O5" s="10"/>
      <c r="P5" s="10"/>
      <c r="Q5" s="10"/>
    </row>
    <row r="6" spans="9:17">
      <c r="I6" s="47"/>
      <c r="J6" s="48"/>
      <c r="M6" s="48"/>
      <c r="P6" s="47"/>
      <c r="Q6" s="47"/>
    </row>
  </sheetData>
  <dataValidations count="1">
    <dataValidation type="list" allowBlank="1" showInputMessage="1" showErrorMessage="1" sqref="D2 D3 D4 D5">
      <formula1>"需求分析,产品设计,编码,测试设计,测试执行,需求交付,文档撰写,产品发布"</formula1>
    </dataValidation>
  </dataValidations>
  <pageMargins left="0.699305555555556" right="0.699305555555556"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1"/>
  <sheetViews>
    <sheetView tabSelected="1" workbookViewId="0">
      <selection activeCell="E12" sqref="E12"/>
    </sheetView>
  </sheetViews>
  <sheetFormatPr defaultColWidth="9" defaultRowHeight="13.5"/>
  <cols>
    <col min="1" max="1" width="12.75" style="11" customWidth="1"/>
    <col min="2" max="2" width="42.375" style="11" customWidth="1"/>
    <col min="3" max="3" width="12.5" style="11" customWidth="1"/>
    <col min="4" max="4" width="8.25" style="11" customWidth="1"/>
    <col min="5" max="5" width="25.5" style="26" customWidth="1"/>
    <col min="6" max="6" width="7.5" style="26" customWidth="1"/>
    <col min="7" max="7" width="7.375" style="26" customWidth="1"/>
    <col min="8" max="8" width="7.75" style="26" customWidth="1"/>
    <col min="9" max="9" width="6" style="26" customWidth="1"/>
    <col min="10" max="10" width="32.5" style="11" customWidth="1"/>
    <col min="11" max="11" width="7.25" style="11" customWidth="1"/>
    <col min="12" max="12" width="4.75" style="11" customWidth="1"/>
    <col min="13" max="13" width="7.375" style="26" customWidth="1"/>
    <col min="14" max="14" width="7.25" style="26" customWidth="1"/>
    <col min="15" max="15" width="7.375" style="26" customWidth="1"/>
    <col min="16" max="16" width="9" style="26"/>
    <col min="17" max="17" width="12" style="11" customWidth="1"/>
    <col min="18" max="18" width="9" style="11"/>
  </cols>
  <sheetData>
    <row r="1" s="1" customFormat="1" ht="30" customHeight="1" spans="1:17">
      <c r="A1" s="3" t="s">
        <v>20</v>
      </c>
      <c r="B1" s="3" t="s">
        <v>21</v>
      </c>
      <c r="C1" s="3" t="s">
        <v>22</v>
      </c>
      <c r="D1" s="3" t="s">
        <v>23</v>
      </c>
      <c r="E1" s="4" t="s">
        <v>24</v>
      </c>
      <c r="F1" s="4" t="s">
        <v>25</v>
      </c>
      <c r="G1" s="4" t="s">
        <v>26</v>
      </c>
      <c r="H1" s="4" t="s">
        <v>27</v>
      </c>
      <c r="I1" s="4" t="s">
        <v>28</v>
      </c>
      <c r="J1" s="3" t="s">
        <v>29</v>
      </c>
      <c r="K1" s="3" t="s">
        <v>30</v>
      </c>
      <c r="L1" s="3" t="s">
        <v>31</v>
      </c>
      <c r="M1" s="4" t="s">
        <v>25</v>
      </c>
      <c r="N1" s="4" t="s">
        <v>32</v>
      </c>
      <c r="O1" s="4" t="s">
        <v>27</v>
      </c>
      <c r="P1" s="4" t="s">
        <v>33</v>
      </c>
      <c r="Q1" s="4" t="s">
        <v>34</v>
      </c>
    </row>
    <row r="2" s="24" customFormat="1" ht="73" customHeight="1" spans="1:18">
      <c r="A2" s="27" t="s">
        <v>107</v>
      </c>
      <c r="B2" s="27" t="s">
        <v>108</v>
      </c>
      <c r="C2" s="27" t="s">
        <v>37</v>
      </c>
      <c r="D2" s="28" t="s">
        <v>4</v>
      </c>
      <c r="E2" s="27" t="s">
        <v>46</v>
      </c>
      <c r="F2" s="28">
        <v>9</v>
      </c>
      <c r="G2" s="27">
        <v>3</v>
      </c>
      <c r="H2" s="27">
        <v>9</v>
      </c>
      <c r="I2" s="27">
        <v>243</v>
      </c>
      <c r="J2" s="27" t="s">
        <v>109</v>
      </c>
      <c r="K2" s="27" t="s">
        <v>96</v>
      </c>
      <c r="L2" s="27" t="s">
        <v>60</v>
      </c>
      <c r="M2" s="27"/>
      <c r="N2" s="27"/>
      <c r="O2" s="27"/>
      <c r="P2" s="27"/>
      <c r="Q2" s="32"/>
      <c r="R2" s="33"/>
    </row>
    <row r="3" s="10" customFormat="1" ht="33" spans="1:18">
      <c r="A3" s="15" t="s">
        <v>110</v>
      </c>
      <c r="B3" s="15" t="s">
        <v>111</v>
      </c>
      <c r="C3" s="15" t="s">
        <v>112</v>
      </c>
      <c r="D3" s="15" t="s">
        <v>5</v>
      </c>
      <c r="E3" s="15" t="s">
        <v>45</v>
      </c>
      <c r="F3" s="15">
        <v>9</v>
      </c>
      <c r="G3" s="15">
        <v>6</v>
      </c>
      <c r="H3" s="15">
        <v>7</v>
      </c>
      <c r="I3" s="15">
        <v>378</v>
      </c>
      <c r="J3" s="15" t="s">
        <v>113</v>
      </c>
      <c r="K3" s="15" t="s">
        <v>102</v>
      </c>
      <c r="L3" s="16" t="s">
        <v>60</v>
      </c>
      <c r="M3" s="15">
        <v>9</v>
      </c>
      <c r="N3" s="15">
        <v>1</v>
      </c>
      <c r="O3" s="15">
        <v>1</v>
      </c>
      <c r="P3" s="15">
        <v>9</v>
      </c>
      <c r="Q3" s="18" t="s">
        <v>53</v>
      </c>
      <c r="R3" s="15"/>
    </row>
    <row r="4" s="10" customFormat="1" ht="27" customHeight="1" spans="1:18">
      <c r="A4" s="15" t="s">
        <v>110</v>
      </c>
      <c r="B4" s="15" t="s">
        <v>114</v>
      </c>
      <c r="C4" s="15" t="s">
        <v>115</v>
      </c>
      <c r="D4" s="28" t="s">
        <v>4</v>
      </c>
      <c r="E4" s="15" t="s">
        <v>45</v>
      </c>
      <c r="F4" s="15">
        <v>9</v>
      </c>
      <c r="G4" s="15">
        <v>7</v>
      </c>
      <c r="H4" s="15">
        <v>7</v>
      </c>
      <c r="I4" s="15">
        <v>441</v>
      </c>
      <c r="J4" s="15" t="s">
        <v>116</v>
      </c>
      <c r="K4" s="15" t="s">
        <v>102</v>
      </c>
      <c r="L4" s="16" t="s">
        <v>60</v>
      </c>
      <c r="M4" s="15">
        <v>9</v>
      </c>
      <c r="N4" s="15">
        <v>3</v>
      </c>
      <c r="O4" s="15">
        <v>3</v>
      </c>
      <c r="P4" s="15">
        <v>72</v>
      </c>
      <c r="Q4" s="18" t="s">
        <v>53</v>
      </c>
      <c r="R4" s="15"/>
    </row>
    <row r="5" s="10" customFormat="1" ht="165" spans="1:18">
      <c r="A5" s="15" t="s">
        <v>110</v>
      </c>
      <c r="B5" s="15" t="s">
        <v>117</v>
      </c>
      <c r="C5" s="15" t="s">
        <v>118</v>
      </c>
      <c r="D5" s="15" t="s">
        <v>119</v>
      </c>
      <c r="E5" s="15" t="s">
        <v>46</v>
      </c>
      <c r="F5" s="15">
        <v>9</v>
      </c>
      <c r="G5" s="15">
        <v>7</v>
      </c>
      <c r="H5" s="15">
        <v>7</v>
      </c>
      <c r="I5" s="15">
        <v>441</v>
      </c>
      <c r="J5" s="15" t="s">
        <v>120</v>
      </c>
      <c r="K5" s="15" t="s">
        <v>96</v>
      </c>
      <c r="L5" s="16" t="s">
        <v>60</v>
      </c>
      <c r="M5" s="15">
        <v>9</v>
      </c>
      <c r="N5" s="15">
        <v>2</v>
      </c>
      <c r="O5" s="15">
        <v>1</v>
      </c>
      <c r="P5" s="15">
        <v>18</v>
      </c>
      <c r="Q5" s="18" t="s">
        <v>53</v>
      </c>
      <c r="R5" s="15"/>
    </row>
    <row r="6" s="10" customFormat="1" ht="36" customHeight="1" spans="1:18">
      <c r="A6" s="15" t="s">
        <v>107</v>
      </c>
      <c r="B6" s="15" t="s">
        <v>121</v>
      </c>
      <c r="C6" s="15" t="s">
        <v>71</v>
      </c>
      <c r="D6" s="28" t="s">
        <v>4</v>
      </c>
      <c r="E6" s="15" t="s">
        <v>45</v>
      </c>
      <c r="F6" s="15">
        <v>9</v>
      </c>
      <c r="G6" s="15">
        <v>7</v>
      </c>
      <c r="H6" s="15">
        <v>6</v>
      </c>
      <c r="I6" s="15">
        <v>378</v>
      </c>
      <c r="J6" s="15" t="s">
        <v>122</v>
      </c>
      <c r="K6" s="15" t="s">
        <v>123</v>
      </c>
      <c r="L6" s="16" t="s">
        <v>60</v>
      </c>
      <c r="M6" s="15">
        <v>9</v>
      </c>
      <c r="N6" s="15">
        <v>2</v>
      </c>
      <c r="O6" s="15">
        <v>2</v>
      </c>
      <c r="P6" s="15">
        <v>36</v>
      </c>
      <c r="Q6" s="18" t="s">
        <v>53</v>
      </c>
      <c r="R6" s="15"/>
    </row>
    <row r="7" s="10" customFormat="1" ht="33" spans="1:18">
      <c r="A7" s="15" t="s">
        <v>110</v>
      </c>
      <c r="B7" s="15" t="s">
        <v>124</v>
      </c>
      <c r="C7" s="15" t="s">
        <v>125</v>
      </c>
      <c r="D7" s="28" t="s">
        <v>9</v>
      </c>
      <c r="E7" s="15" t="s">
        <v>45</v>
      </c>
      <c r="F7" s="10">
        <v>6</v>
      </c>
      <c r="G7" s="10">
        <v>6</v>
      </c>
      <c r="H7" s="10">
        <v>7</v>
      </c>
      <c r="I7" s="10">
        <v>252</v>
      </c>
      <c r="J7" s="15" t="s">
        <v>126</v>
      </c>
      <c r="K7" s="10" t="s">
        <v>96</v>
      </c>
      <c r="L7" s="10" t="s">
        <v>60</v>
      </c>
      <c r="M7" s="10">
        <v>6</v>
      </c>
      <c r="N7" s="10">
        <v>2</v>
      </c>
      <c r="O7" s="10">
        <v>2</v>
      </c>
      <c r="P7" s="10">
        <v>24</v>
      </c>
      <c r="Q7" s="18" t="s">
        <v>53</v>
      </c>
      <c r="R7" s="15"/>
    </row>
    <row r="8" s="10" customFormat="1" ht="41" customHeight="1" spans="1:17">
      <c r="A8" s="15" t="s">
        <v>110</v>
      </c>
      <c r="B8" s="15" t="s">
        <v>127</v>
      </c>
      <c r="C8" s="15" t="s">
        <v>125</v>
      </c>
      <c r="D8" s="28" t="s">
        <v>9</v>
      </c>
      <c r="E8" s="29"/>
      <c r="F8" s="10">
        <v>8</v>
      </c>
      <c r="G8" s="10">
        <v>7</v>
      </c>
      <c r="H8" s="10">
        <v>6</v>
      </c>
      <c r="I8" s="10">
        <v>336</v>
      </c>
      <c r="J8" s="15" t="s">
        <v>128</v>
      </c>
      <c r="K8" s="10" t="s">
        <v>96</v>
      </c>
      <c r="L8" s="10" t="s">
        <v>60</v>
      </c>
      <c r="M8" s="10">
        <v>8</v>
      </c>
      <c r="N8" s="10">
        <v>2</v>
      </c>
      <c r="O8" s="10">
        <v>2</v>
      </c>
      <c r="P8" s="10">
        <v>32</v>
      </c>
      <c r="Q8" s="18" t="s">
        <v>53</v>
      </c>
    </row>
    <row r="9" s="25" customFormat="1" spans="1:18">
      <c r="A9" s="30"/>
      <c r="B9" s="30"/>
      <c r="C9" s="30"/>
      <c r="D9" s="30"/>
      <c r="E9" s="31"/>
      <c r="F9" s="31"/>
      <c r="G9" s="31"/>
      <c r="H9" s="31"/>
      <c r="I9" s="31"/>
      <c r="J9" s="30"/>
      <c r="K9" s="30"/>
      <c r="L9" s="30"/>
      <c r="M9" s="31"/>
      <c r="N9" s="31"/>
      <c r="O9" s="31"/>
      <c r="P9" s="31"/>
      <c r="Q9" s="30"/>
      <c r="R9" s="30"/>
    </row>
    <row r="10" s="25" customFormat="1" spans="1:18">
      <c r="A10" s="30"/>
      <c r="B10" s="30"/>
      <c r="C10" s="30"/>
      <c r="D10" s="30"/>
      <c r="E10" s="31"/>
      <c r="F10" s="31"/>
      <c r="G10" s="31"/>
      <c r="H10" s="31"/>
      <c r="I10" s="31"/>
      <c r="J10" s="30"/>
      <c r="K10" s="30"/>
      <c r="L10" s="30"/>
      <c r="M10" s="31"/>
      <c r="N10" s="31"/>
      <c r="O10" s="31"/>
      <c r="P10" s="31"/>
      <c r="Q10" s="30"/>
      <c r="R10" s="30"/>
    </row>
    <row r="11" s="25" customFormat="1" spans="1:18">
      <c r="A11" s="30"/>
      <c r="B11" s="30"/>
      <c r="C11" s="30"/>
      <c r="D11" s="30"/>
      <c r="E11" s="31"/>
      <c r="F11" s="31"/>
      <c r="G11" s="31"/>
      <c r="H11" s="31"/>
      <c r="I11" s="31"/>
      <c r="J11" s="30"/>
      <c r="K11" s="30"/>
      <c r="L11" s="30"/>
      <c r="M11" s="31"/>
      <c r="N11" s="31"/>
      <c r="O11" s="31"/>
      <c r="P11" s="31"/>
      <c r="Q11" s="30"/>
      <c r="R11" s="30"/>
    </row>
  </sheetData>
  <dataValidations count="2">
    <dataValidation type="list" allowBlank="1" showInputMessage="1" showErrorMessage="1" sqref="C2">
      <formula1>#REF!</formula1>
    </dataValidation>
    <dataValidation type="list" allowBlank="1" showInputMessage="1" showErrorMessage="1" sqref="D2 D4 D6 D7:D8">
      <formula1>"需求分析,产品设计,编码,测试设计,测试执行,需求交付,文档撰写,产品发布"</formula1>
    </dataValidation>
  </dataValidations>
  <pageMargins left="0.699305555555556" right="0.699305555555556"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
  <sheetViews>
    <sheetView workbookViewId="0">
      <selection activeCell="C1" sqref="C1"/>
    </sheetView>
  </sheetViews>
  <sheetFormatPr defaultColWidth="9" defaultRowHeight="13.5" outlineLevelRow="2"/>
  <cols>
    <col min="1" max="1" width="17.25" customWidth="1"/>
    <col min="2" max="2" width="38.5" customWidth="1"/>
    <col min="3" max="3" width="13.125" customWidth="1"/>
    <col min="10" max="10" width="18.25" customWidth="1"/>
  </cols>
  <sheetData>
    <row r="1" s="19" customFormat="1" ht="33" spans="1:18">
      <c r="A1" s="20" t="s">
        <v>20</v>
      </c>
      <c r="B1" s="3" t="s">
        <v>21</v>
      </c>
      <c r="C1" s="3" t="s">
        <v>22</v>
      </c>
      <c r="D1" s="3" t="s">
        <v>23</v>
      </c>
      <c r="E1" s="21" t="s">
        <v>24</v>
      </c>
      <c r="F1" s="22" t="s">
        <v>25</v>
      </c>
      <c r="G1" s="21" t="s">
        <v>32</v>
      </c>
      <c r="H1" s="21" t="s">
        <v>27</v>
      </c>
      <c r="I1" s="21" t="s">
        <v>28</v>
      </c>
      <c r="J1" s="21" t="s">
        <v>29</v>
      </c>
      <c r="K1" s="3" t="s">
        <v>30</v>
      </c>
      <c r="L1" s="3" t="s">
        <v>31</v>
      </c>
      <c r="M1" s="22" t="s">
        <v>25</v>
      </c>
      <c r="N1" s="21" t="s">
        <v>32</v>
      </c>
      <c r="O1" s="21" t="s">
        <v>27</v>
      </c>
      <c r="P1" s="4" t="s">
        <v>33</v>
      </c>
      <c r="Q1" s="4" t="s">
        <v>34</v>
      </c>
      <c r="R1" s="23"/>
    </row>
    <row r="2" s="10" customFormat="1" ht="42" customHeight="1" spans="1:17">
      <c r="A2" s="10" t="s">
        <v>129</v>
      </c>
      <c r="B2" s="15" t="s">
        <v>130</v>
      </c>
      <c r="C2" s="15" t="s">
        <v>125</v>
      </c>
      <c r="D2" s="16" t="s">
        <v>9</v>
      </c>
      <c r="E2" s="10" t="s">
        <v>45</v>
      </c>
      <c r="F2" s="10">
        <v>6</v>
      </c>
      <c r="G2" s="10">
        <v>9</v>
      </c>
      <c r="H2" s="10">
        <v>5</v>
      </c>
      <c r="I2" s="10">
        <v>270</v>
      </c>
      <c r="J2" s="15" t="s">
        <v>131</v>
      </c>
      <c r="K2" s="10" t="s">
        <v>96</v>
      </c>
      <c r="L2" s="10" t="s">
        <v>60</v>
      </c>
      <c r="M2" s="10">
        <v>6</v>
      </c>
      <c r="N2" s="10">
        <v>2</v>
      </c>
      <c r="O2" s="10">
        <v>3</v>
      </c>
      <c r="P2" s="10">
        <v>36</v>
      </c>
      <c r="Q2" s="18" t="s">
        <v>53</v>
      </c>
    </row>
    <row r="3" s="10" customFormat="1" ht="33" spans="1:17">
      <c r="A3" s="10" t="s">
        <v>132</v>
      </c>
      <c r="B3" s="15" t="s">
        <v>133</v>
      </c>
      <c r="C3" s="15" t="s">
        <v>134</v>
      </c>
      <c r="D3" s="16" t="s">
        <v>9</v>
      </c>
      <c r="E3" s="10" t="s">
        <v>45</v>
      </c>
      <c r="F3" s="10">
        <v>9</v>
      </c>
      <c r="G3" s="10">
        <v>6</v>
      </c>
      <c r="H3" s="10">
        <v>6</v>
      </c>
      <c r="I3" s="10">
        <v>324</v>
      </c>
      <c r="J3" s="15" t="s">
        <v>135</v>
      </c>
      <c r="K3" s="10" t="s">
        <v>96</v>
      </c>
      <c r="L3" s="10" t="s">
        <v>60</v>
      </c>
      <c r="M3" s="10">
        <v>9</v>
      </c>
      <c r="N3" s="10">
        <v>2</v>
      </c>
      <c r="O3" s="10">
        <v>2</v>
      </c>
      <c r="P3" s="10">
        <v>36</v>
      </c>
      <c r="Q3" s="18" t="s">
        <v>53</v>
      </c>
    </row>
  </sheetData>
  <dataValidations count="1">
    <dataValidation type="list" allowBlank="1" showInputMessage="1" showErrorMessage="1" sqref="D2:D3">
      <formula1>"需求分析,产品设计,编码,测试设计,测试执行,需求交付,文档撰写,产品发布"</formula1>
    </dataValidation>
  </dataValidations>
  <pageMargins left="0.75" right="0.75" top="1" bottom="1" header="0.511805555555556" footer="0.511805555555556"/>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
  <sheetViews>
    <sheetView workbookViewId="0">
      <selection activeCell="L14" sqref="L14"/>
    </sheetView>
  </sheetViews>
  <sheetFormatPr defaultColWidth="9" defaultRowHeight="13.5" outlineLevelRow="3"/>
  <cols>
    <col min="1" max="1" width="12.5" customWidth="1"/>
    <col min="2" max="2" width="40.25" style="11" customWidth="1"/>
    <col min="3" max="3" width="11.625" style="11" customWidth="1"/>
    <col min="4" max="4" width="9.25" style="11" customWidth="1"/>
    <col min="5" max="5" width="9.625" customWidth="1"/>
    <col min="10" max="10" width="48.625" style="11" customWidth="1"/>
    <col min="17" max="17" width="10.875" customWidth="1"/>
  </cols>
  <sheetData>
    <row r="1" s="9" customFormat="1" ht="33" spans="1:18">
      <c r="A1" s="12" t="s">
        <v>136</v>
      </c>
      <c r="B1" s="3" t="s">
        <v>21</v>
      </c>
      <c r="C1" s="3" t="s">
        <v>22</v>
      </c>
      <c r="D1" s="3" t="s">
        <v>23</v>
      </c>
      <c r="E1" s="13" t="s">
        <v>24</v>
      </c>
      <c r="F1" s="14" t="s">
        <v>25</v>
      </c>
      <c r="G1" s="13" t="s">
        <v>32</v>
      </c>
      <c r="H1" s="13" t="s">
        <v>27</v>
      </c>
      <c r="I1" s="13" t="s">
        <v>28</v>
      </c>
      <c r="J1" s="13" t="s">
        <v>29</v>
      </c>
      <c r="K1" s="3" t="s">
        <v>30</v>
      </c>
      <c r="L1" s="3" t="s">
        <v>31</v>
      </c>
      <c r="M1" s="14" t="s">
        <v>25</v>
      </c>
      <c r="N1" s="13" t="s">
        <v>32</v>
      </c>
      <c r="O1" s="13" t="s">
        <v>27</v>
      </c>
      <c r="P1" s="4" t="s">
        <v>33</v>
      </c>
      <c r="Q1" s="4" t="s">
        <v>34</v>
      </c>
      <c r="R1" s="17"/>
    </row>
    <row r="2" s="10" customFormat="1" ht="39" customHeight="1" spans="1:17">
      <c r="A2" s="10" t="s">
        <v>137</v>
      </c>
      <c r="B2" s="15" t="s">
        <v>138</v>
      </c>
      <c r="C2" s="15" t="s">
        <v>139</v>
      </c>
      <c r="D2" s="16" t="s">
        <v>10</v>
      </c>
      <c r="E2" s="10" t="s">
        <v>45</v>
      </c>
      <c r="F2" s="10">
        <v>9</v>
      </c>
      <c r="G2" s="10">
        <v>5</v>
      </c>
      <c r="H2" s="10">
        <v>5</v>
      </c>
      <c r="I2" s="10">
        <v>225</v>
      </c>
      <c r="J2" s="15" t="s">
        <v>140</v>
      </c>
      <c r="K2" s="10" t="s">
        <v>96</v>
      </c>
      <c r="L2" s="10" t="s">
        <v>60</v>
      </c>
      <c r="M2" s="10">
        <v>9</v>
      </c>
      <c r="N2" s="10">
        <v>2</v>
      </c>
      <c r="O2" s="10">
        <v>1</v>
      </c>
      <c r="P2" s="10">
        <v>18</v>
      </c>
      <c r="Q2" s="18" t="s">
        <v>53</v>
      </c>
    </row>
    <row r="3" s="10" customFormat="1" ht="33" spans="1:17">
      <c r="A3" s="10" t="s">
        <v>137</v>
      </c>
      <c r="B3" s="15" t="s">
        <v>141</v>
      </c>
      <c r="C3" s="15" t="s">
        <v>125</v>
      </c>
      <c r="D3" s="16" t="s">
        <v>10</v>
      </c>
      <c r="E3" s="10" t="s">
        <v>45</v>
      </c>
      <c r="F3" s="10">
        <v>9</v>
      </c>
      <c r="G3" s="10">
        <v>5</v>
      </c>
      <c r="H3" s="10">
        <v>6</v>
      </c>
      <c r="I3" s="10">
        <v>270</v>
      </c>
      <c r="J3" s="15" t="s">
        <v>142</v>
      </c>
      <c r="K3" s="10" t="s">
        <v>143</v>
      </c>
      <c r="L3" s="10" t="s">
        <v>144</v>
      </c>
      <c r="M3" s="10">
        <v>9</v>
      </c>
      <c r="N3" s="10">
        <v>2</v>
      </c>
      <c r="O3" s="10">
        <v>2</v>
      </c>
      <c r="P3" s="10">
        <v>36</v>
      </c>
      <c r="Q3" s="18" t="s">
        <v>53</v>
      </c>
    </row>
    <row r="4" s="10" customFormat="1" ht="49.5" spans="1:17">
      <c r="A4" s="10" t="s">
        <v>137</v>
      </c>
      <c r="B4" s="15" t="s">
        <v>145</v>
      </c>
      <c r="C4" s="15" t="s">
        <v>146</v>
      </c>
      <c r="D4" s="16" t="s">
        <v>10</v>
      </c>
      <c r="E4" s="10" t="s">
        <v>45</v>
      </c>
      <c r="F4" s="10">
        <v>6</v>
      </c>
      <c r="G4" s="10">
        <v>8</v>
      </c>
      <c r="H4" s="10">
        <v>8</v>
      </c>
      <c r="I4" s="10">
        <v>384</v>
      </c>
      <c r="J4" s="15" t="s">
        <v>147</v>
      </c>
      <c r="K4" s="10" t="s">
        <v>143</v>
      </c>
      <c r="L4" s="10" t="s">
        <v>144</v>
      </c>
      <c r="M4" s="10">
        <v>6</v>
      </c>
      <c r="N4" s="10">
        <v>2</v>
      </c>
      <c r="O4" s="10">
        <v>2</v>
      </c>
      <c r="P4" s="10">
        <v>24</v>
      </c>
      <c r="Q4" s="18" t="s">
        <v>53</v>
      </c>
    </row>
  </sheetData>
  <autoFilter ref="A1:R4">
    <extLst/>
  </autoFilter>
  <dataValidations count="1">
    <dataValidation type="list" allowBlank="1" showInputMessage="1" showErrorMessage="1" sqref="D2:D4">
      <formula1>"需求分析,产品设计,编码,测试设计,测试执行,需求交付,文档撰写,产品发布"</formula1>
    </dataValidation>
  </dataValidations>
  <pageMargins left="0.75" right="0.75" top="1" bottom="1" header="0.511805555555556" footer="0.511805555555556"/>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
  <sheetViews>
    <sheetView zoomScale="85" zoomScaleNormal="85" workbookViewId="0">
      <selection activeCell="P34" sqref="P34"/>
    </sheetView>
  </sheetViews>
  <sheetFormatPr defaultColWidth="9" defaultRowHeight="13.5" outlineLevelRow="2"/>
  <cols>
    <col min="1" max="1" width="4.75" customWidth="1"/>
    <col min="4" max="4" width="7.25" customWidth="1"/>
    <col min="5" max="6" width="7.5" customWidth="1"/>
    <col min="7" max="7" width="7.375" customWidth="1"/>
    <col min="8" max="8" width="7.625" customWidth="1"/>
    <col min="9" max="9" width="5.625" customWidth="1"/>
    <col min="10" max="10" width="7.5" customWidth="1"/>
    <col min="11" max="11" width="6.75833333333333" customWidth="1"/>
    <col min="12" max="12" width="5.29166666666667" customWidth="1"/>
    <col min="13" max="13" width="8.225" customWidth="1"/>
    <col min="14" max="14" width="7.93333333333333" customWidth="1"/>
    <col min="16" max="16" width="8.09166666666667" customWidth="1"/>
  </cols>
  <sheetData>
    <row r="1" s="1" customFormat="1" ht="40" customHeight="1" spans="1:17">
      <c r="A1" s="3" t="s">
        <v>20</v>
      </c>
      <c r="B1" s="3" t="s">
        <v>21</v>
      </c>
      <c r="C1" s="3" t="s">
        <v>22</v>
      </c>
      <c r="D1" s="3" t="s">
        <v>23</v>
      </c>
      <c r="E1" s="4" t="s">
        <v>24</v>
      </c>
      <c r="F1" s="4" t="s">
        <v>25</v>
      </c>
      <c r="G1" s="4" t="s">
        <v>26</v>
      </c>
      <c r="H1" s="4" t="s">
        <v>27</v>
      </c>
      <c r="I1" s="4" t="s">
        <v>28</v>
      </c>
      <c r="J1" s="7" t="s">
        <v>29</v>
      </c>
      <c r="K1" s="3" t="s">
        <v>30</v>
      </c>
      <c r="L1" s="3" t="s">
        <v>31</v>
      </c>
      <c r="M1" s="4" t="s">
        <v>25</v>
      </c>
      <c r="N1" s="4" t="s">
        <v>32</v>
      </c>
      <c r="O1" s="4" t="s">
        <v>27</v>
      </c>
      <c r="P1" s="4" t="s">
        <v>33</v>
      </c>
      <c r="Q1" s="4" t="s">
        <v>34</v>
      </c>
    </row>
    <row r="2" s="2" customFormat="1" ht="40" customHeight="1" spans="1:17">
      <c r="A2" s="5"/>
      <c r="B2" s="5"/>
      <c r="C2" s="5"/>
      <c r="D2" s="5"/>
      <c r="E2" s="6"/>
      <c r="F2" s="6"/>
      <c r="G2" s="6"/>
      <c r="H2" s="6"/>
      <c r="I2" s="6"/>
      <c r="J2" s="8"/>
      <c r="K2" s="5"/>
      <c r="L2" s="5"/>
      <c r="M2" s="6"/>
      <c r="N2" s="6"/>
      <c r="O2" s="6"/>
      <c r="P2" s="6"/>
      <c r="Q2" s="6"/>
    </row>
    <row r="3" s="2" customFormat="1" ht="40" customHeight="1" spans="1:17">
      <c r="A3" s="5"/>
      <c r="B3" s="5"/>
      <c r="C3" s="5"/>
      <c r="D3" s="5"/>
      <c r="E3" s="6"/>
      <c r="F3" s="6"/>
      <c r="G3" s="6"/>
      <c r="H3" s="6"/>
      <c r="I3" s="6"/>
      <c r="J3" s="8"/>
      <c r="K3" s="5"/>
      <c r="L3" s="5"/>
      <c r="M3" s="6"/>
      <c r="N3" s="6"/>
      <c r="O3" s="6"/>
      <c r="P3" s="6"/>
      <c r="Q3" s="6"/>
    </row>
  </sheetData>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模板说明</vt:lpstr>
      <vt:lpstr>问题统计表</vt:lpstr>
      <vt:lpstr>定时备份</vt:lpstr>
      <vt:lpstr>实时&amp;容灾</vt:lpstr>
      <vt:lpstr>云备份</vt:lpstr>
      <vt:lpstr>磁带备份</vt:lpstr>
      <vt:lpstr>公共管理类</vt:lpstr>
      <vt:lpstr>其他</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Hank</dc:creator>
  <cp:lastModifiedBy>zhou.danting</cp:lastModifiedBy>
  <dcterms:created xsi:type="dcterms:W3CDTF">2006-09-16T00:00:00Z</dcterms:created>
  <dcterms:modified xsi:type="dcterms:W3CDTF">2019-01-28T07:57:15Z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2052-11.1.0.8214</vt:lpwstr>
  </property>
</Properties>
</file>