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5"/>
  </bookViews>
  <sheets>
    <sheet name="流程说明" sheetId="2" r:id="rId1"/>
    <sheet name="故障模式库" sheetId="1" r:id="rId2"/>
    <sheet name="KVM数据备份评审" sheetId="3" r:id="rId3"/>
    <sheet name="数据恢复评审" sheetId="4" r:id="rId4"/>
    <sheet name="容灾接管评审" sheetId="5" r:id="rId5"/>
    <sheet name="Sheet1" sheetId="6" r:id="rId6"/>
  </sheets>
  <definedNames>
    <definedName name="_xlnm._FilterDatabase" localSheetId="2" hidden="1">KVM数据备份评审!$I$1:$I$10</definedName>
  </definedNames>
  <calcPr calcId="144525" calcCompleted="0" calcOnSave="0"/>
</workbook>
</file>

<file path=xl/sharedStrings.xml><?xml version="1.0" encoding="utf-8"?>
<sst xmlns="http://schemas.openxmlformats.org/spreadsheetml/2006/main" count="117">
  <si>
    <t>评分标准</t>
  </si>
  <si>
    <t>严重度</t>
  </si>
  <si>
    <t>评分</t>
  </si>
  <si>
    <t>频率</t>
  </si>
  <si>
    <t>探测度</t>
  </si>
  <si>
    <t>失效模式的严重程度</t>
  </si>
  <si>
    <t>失效发生的频率</t>
  </si>
  <si>
    <t>过程控制对失效模式的可探测程度</t>
  </si>
  <si>
    <t>低</t>
  </si>
  <si>
    <t>1-3分</t>
  </si>
  <si>
    <t>容易</t>
  </si>
  <si>
    <t>中</t>
  </si>
  <si>
    <t>4-6分</t>
  </si>
  <si>
    <t>中等</t>
  </si>
  <si>
    <t>高</t>
  </si>
  <si>
    <t>7-9分</t>
  </si>
  <si>
    <t>难</t>
  </si>
  <si>
    <t>极高</t>
  </si>
  <si>
    <t>10分</t>
  </si>
  <si>
    <t>极难</t>
  </si>
  <si>
    <t>功能</t>
  </si>
  <si>
    <t>潜在故障模式</t>
  </si>
  <si>
    <t>潜在故障影响</t>
  </si>
  <si>
    <t>数据备份</t>
  </si>
  <si>
    <t>备份失败</t>
  </si>
  <si>
    <t>导致客户数据没有保护</t>
  </si>
  <si>
    <t>漏备数据</t>
  </si>
  <si>
    <t>导致客户数据保护的不完整，有可能导致所保护的数据无效。</t>
  </si>
  <si>
    <t>资源占用过多</t>
  </si>
  <si>
    <t>导致业务系统响应卡顿</t>
  </si>
  <si>
    <t>容量统计不准确</t>
  </si>
  <si>
    <t>导致授权的功能无法正常使用</t>
  </si>
  <si>
    <t>备份任务卡住</t>
  </si>
  <si>
    <t>导致客户的数据无法保护</t>
  </si>
  <si>
    <t>更改生产机配置</t>
  </si>
  <si>
    <t>KVM容灾后网卡异常禁用</t>
  </si>
  <si>
    <t>导致kvm容灾任务无法正常运行</t>
  </si>
  <si>
    <t>备份速度慢</t>
  </si>
  <si>
    <t>指定时间内无法备份完成</t>
  </si>
  <si>
    <t>Oracle RAC客户端大量eef进程残留</t>
  </si>
  <si>
    <t>导致业务系统资源泄露</t>
  </si>
  <si>
    <t>浏览恢复</t>
  </si>
  <si>
    <t>恢复失败</t>
  </si>
  <si>
    <t>导致客户无法快速恢复业务数据</t>
  </si>
  <si>
    <t>恢复后数据与备份时不一致</t>
  </si>
  <si>
    <t>数据无法使用</t>
  </si>
  <si>
    <t>恢复后数据与硬件不兼容</t>
  </si>
  <si>
    <t>恢复后机器出现蓝屏</t>
  </si>
  <si>
    <t>挂载恢复</t>
  </si>
  <si>
    <t>恢复出来的盘读写性能低</t>
  </si>
  <si>
    <t>规定时间点无法恢复完成</t>
  </si>
  <si>
    <t>细粒度恢复</t>
  </si>
  <si>
    <t>千万级文件解析失败</t>
  </si>
  <si>
    <t>无法实现细粒度恢复</t>
  </si>
  <si>
    <t>恢复速度慢</t>
  </si>
  <si>
    <t>演练</t>
  </si>
  <si>
    <t>演练失败</t>
  </si>
  <si>
    <t>演练功能失效</t>
  </si>
  <si>
    <t>RTO过长</t>
  </si>
  <si>
    <t>无法满足用户要求</t>
  </si>
  <si>
    <t>RPO过大</t>
  </si>
  <si>
    <t>不能恢复到指定时间点</t>
  </si>
  <si>
    <t>数据回切</t>
  </si>
  <si>
    <t>回切失败</t>
  </si>
  <si>
    <t>回切功能失效</t>
  </si>
  <si>
    <t>回切时间过长</t>
  </si>
  <si>
    <t>影响业务系统的恢复时间</t>
  </si>
  <si>
    <t>S（0-10）严重程度</t>
  </si>
  <si>
    <t>潜在故障起因</t>
  </si>
  <si>
    <t>0（0-10）出现概率</t>
  </si>
  <si>
    <t>现有控制措施</t>
  </si>
  <si>
    <t>D（0-10）易探测度</t>
  </si>
  <si>
    <t>RPN</t>
  </si>
  <si>
    <t>设计改进</t>
  </si>
  <si>
    <t>RPN(改进后)</t>
  </si>
  <si>
    <t>异常情况考虑不足</t>
  </si>
  <si>
    <t>梳理并模拟各种异常场景进行测试验证</t>
  </si>
  <si>
    <t>设计阶段梳理各种可能的异常情况及处理方案，提前规避问题</t>
  </si>
  <si>
    <t>特殊的环境，不熟悉导致</t>
  </si>
  <si>
    <t>查看对应系统的说明文档，尽可能模拟对应的场景</t>
  </si>
  <si>
    <t>未做资源占用控制</t>
  </si>
  <si>
    <t>所有资源都通过配置来设定</t>
  </si>
  <si>
    <t>容量统计模式未设计好</t>
  </si>
  <si>
    <t>暂无</t>
  </si>
  <si>
    <t>共享资源没有处理好，导致死锁</t>
  </si>
  <si>
    <t>采用代码审核机制，来控制代码质量</t>
  </si>
  <si>
    <t>KVM平台对某些硬件不兼容</t>
  </si>
  <si>
    <t>生产机的硬件性能不满足任务的要求</t>
  </si>
  <si>
    <t>通过提供性能采集工具来判断是否满足任务的运行条件</t>
  </si>
  <si>
    <t>网络带宽不足或者日志卷写性能差</t>
  </si>
  <si>
    <t>改变生产的硬件配置</t>
  </si>
  <si>
    <t>客户端大量eef进程残留</t>
  </si>
  <si>
    <t>任务的异常未处理好，导致执行进程残留</t>
  </si>
  <si>
    <t>加强异常测试，并检查是否有执行进程残留</t>
  </si>
  <si>
    <t>0（0-10）频率</t>
  </si>
  <si>
    <t>D（0-10）可探测度</t>
  </si>
  <si>
    <t>RPN（改进后）</t>
  </si>
  <si>
    <t>备份数据不一致</t>
  </si>
  <si>
    <t>多副本，多时间的机制，确保有可用的数据</t>
  </si>
  <si>
    <t>产品设计总增加数据一致性校验</t>
  </si>
  <si>
    <t>未做数据一致性校验</t>
  </si>
  <si>
    <t>对存储端进行数据一致性校验</t>
  </si>
  <si>
    <t>不同硬件的驱动不兼容</t>
  </si>
  <si>
    <t>根据特定硬件下载对应的驱动</t>
  </si>
  <si>
    <t>一体机的后端存储性能不行</t>
  </si>
  <si>
    <t>提升一体机的硬件配置</t>
  </si>
  <si>
    <t>方案不适合此场景</t>
  </si>
  <si>
    <t>暂无，或者换方案</t>
  </si>
  <si>
    <t>没有找到最优的解决方案</t>
  </si>
  <si>
    <t>系统启动失败</t>
  </si>
  <si>
    <t>人为进行系统修复</t>
  </si>
  <si>
    <t>产品设计中增加演练失败后系统修复功能</t>
  </si>
  <si>
    <t>数据量大</t>
  </si>
  <si>
    <t>测试验证</t>
  </si>
  <si>
    <t>速度慢</t>
  </si>
  <si>
    <t>设置时间点间隔</t>
  </si>
  <si>
    <t>功能bug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</si>
</sst>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Arial Unicode MS"/>
      <charset val="134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D6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7" fillId="16" borderId="10" applyNumberForma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3" borderId="0" xfId="0" applyFont="1" applyFill="1"/>
    <xf numFmtId="0" fontId="6" fillId="3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3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0" fillId="0" borderId="1" xfId="0" applyBorder="1"/>
    <xf numFmtId="0" fontId="0" fillId="3" borderId="1" xfId="0" applyFill="1" applyBorder="1"/>
    <xf numFmtId="0" fontId="4" fillId="0" borderId="0" xfId="0" applyFont="1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2" borderId="0" xfId="0" applyFont="1" applyFill="1"/>
    <xf numFmtId="0" fontId="4" fillId="3" borderId="2" xfId="0" applyFont="1" applyFill="1" applyBorder="1"/>
    <xf numFmtId="0" fontId="0" fillId="3" borderId="3" xfId="0" applyFill="1" applyBorder="1"/>
    <xf numFmtId="0" fontId="6" fillId="0" borderId="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 applyFill="1"/>
    <xf numFmtId="0" fontId="2" fillId="2" borderId="0" xfId="0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9" fillId="4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4" xfId="0" applyBorder="1"/>
    <xf numFmtId="58" fontId="10" fillId="0" borderId="4" xfId="0" applyNumberFormat="1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jpeg"/><Relationship Id="rId3" Type="http://schemas.openxmlformats.org/officeDocument/2006/relationships/hyperlink" Target="https://wiki.mbalib.com/wiki/Image:DFMEA%E6%B5%81%E7%A8%8B.jpg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wiki.mbalib.com/wiki/Image:%E4%B8%A5%E9%87%8D%E5%BA%A6%E5%88%A4%E5%88%AB%E6%B5%81%E7%A8%8B.jpg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12</xdr:col>
      <xdr:colOff>314325</xdr:colOff>
      <xdr:row>27</xdr:row>
      <xdr:rowOff>76200</xdr:rowOff>
    </xdr:to>
    <xdr:pic>
      <xdr:nvPicPr>
        <xdr:cNvPr id="4" name="图片 3" descr="Image:严重度判别流程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00600" y="342900"/>
          <a:ext cx="3743325" cy="436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4</xdr:col>
      <xdr:colOff>200025</xdr:colOff>
      <xdr:row>38</xdr:row>
      <xdr:rowOff>76200</xdr:rowOff>
    </xdr:to>
    <xdr:pic>
      <xdr:nvPicPr>
        <xdr:cNvPr id="7" name="图片 6" descr="Image:DFMEA流程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1450"/>
          <a:ext cx="2943225" cy="641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Q28" sqref="Q28"/>
    </sheetView>
  </sheetViews>
  <sheetFormatPr defaultColWidth="9" defaultRowHeight="13.5" outlineLevelCol="7"/>
  <sheetData>
    <row r="1" customHeight="1"/>
    <row r="40" ht="14.25"/>
    <row r="41" ht="14.25" spans="1:8">
      <c r="A41" s="48" t="s">
        <v>0</v>
      </c>
      <c r="B41" s="48"/>
      <c r="D41" s="48" t="s">
        <v>0</v>
      </c>
      <c r="E41" s="48"/>
      <c r="G41" s="48" t="s">
        <v>0</v>
      </c>
      <c r="H41" s="48"/>
    </row>
    <row r="42" ht="14.25" spans="1:8">
      <c r="A42" s="48" t="s">
        <v>1</v>
      </c>
      <c r="B42" s="48" t="s">
        <v>2</v>
      </c>
      <c r="D42" s="48" t="s">
        <v>3</v>
      </c>
      <c r="E42" s="48" t="s">
        <v>2</v>
      </c>
      <c r="G42" s="48" t="s">
        <v>4</v>
      </c>
      <c r="H42" s="48" t="s">
        <v>2</v>
      </c>
    </row>
    <row r="43" ht="36.75" spans="1:8">
      <c r="A43" s="49" t="s">
        <v>5</v>
      </c>
      <c r="B43" s="50"/>
      <c r="D43" s="49" t="s">
        <v>6</v>
      </c>
      <c r="E43" s="50"/>
      <c r="G43" s="49" t="s">
        <v>7</v>
      </c>
      <c r="H43" s="50"/>
    </row>
    <row r="44" ht="14.25" spans="1:8">
      <c r="A44" s="49" t="s">
        <v>8</v>
      </c>
      <c r="B44" s="51" t="s">
        <v>9</v>
      </c>
      <c r="D44" s="49" t="s">
        <v>8</v>
      </c>
      <c r="E44" s="51" t="s">
        <v>9</v>
      </c>
      <c r="G44" s="49" t="s">
        <v>10</v>
      </c>
      <c r="H44" s="51" t="s">
        <v>9</v>
      </c>
    </row>
    <row r="45" ht="14.25" spans="1:8">
      <c r="A45" s="49" t="s">
        <v>11</v>
      </c>
      <c r="B45" s="51" t="s">
        <v>12</v>
      </c>
      <c r="D45" s="49" t="s">
        <v>11</v>
      </c>
      <c r="E45" s="51" t="s">
        <v>12</v>
      </c>
      <c r="G45" s="49" t="s">
        <v>13</v>
      </c>
      <c r="H45" s="51" t="s">
        <v>12</v>
      </c>
    </row>
    <row r="46" ht="14.25" spans="1:8">
      <c r="A46" s="49" t="s">
        <v>14</v>
      </c>
      <c r="B46" s="51" t="s">
        <v>15</v>
      </c>
      <c r="D46" s="49" t="s">
        <v>14</v>
      </c>
      <c r="E46" s="51" t="s">
        <v>15</v>
      </c>
      <c r="G46" s="49" t="s">
        <v>16</v>
      </c>
      <c r="H46" s="51" t="s">
        <v>15</v>
      </c>
    </row>
    <row r="47" ht="14.25" spans="1:8">
      <c r="A47" s="49" t="s">
        <v>17</v>
      </c>
      <c r="B47" s="51" t="s">
        <v>18</v>
      </c>
      <c r="D47" s="49" t="s">
        <v>17</v>
      </c>
      <c r="E47" s="51" t="s">
        <v>18</v>
      </c>
      <c r="G47" s="49" t="s">
        <v>19</v>
      </c>
      <c r="H47" s="51" t="s">
        <v>18</v>
      </c>
    </row>
  </sheetData>
  <mergeCells count="3">
    <mergeCell ref="A41:B41"/>
    <mergeCell ref="D41:E41"/>
    <mergeCell ref="G41:H41"/>
  </mergeCells>
  <pageMargins left="0.699305555555556" right="0.699305555555556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D24" sqref="D24"/>
    </sheetView>
  </sheetViews>
  <sheetFormatPr defaultColWidth="9" defaultRowHeight="16.5" outlineLevelCol="7"/>
  <cols>
    <col min="1" max="1" width="9" style="43"/>
    <col min="2" max="2" width="24" style="44" customWidth="1"/>
    <col min="3" max="4" width="24.75" style="44" customWidth="1"/>
    <col min="5" max="6" width="20.125" style="44" customWidth="1"/>
    <col min="7" max="8" width="15.25" style="44" customWidth="1"/>
    <col min="9" max="9" width="9.375" style="44" customWidth="1"/>
    <col min="10" max="16384" width="9" style="44"/>
  </cols>
  <sheetData>
    <row r="1" s="42" customFormat="1" ht="15" spans="1:8">
      <c r="A1" s="29" t="s">
        <v>20</v>
      </c>
      <c r="B1" s="30" t="s">
        <v>21</v>
      </c>
      <c r="C1" s="30" t="s">
        <v>22</v>
      </c>
      <c r="D1" s="30"/>
      <c r="E1" s="30"/>
      <c r="F1" s="30"/>
      <c r="G1" s="30"/>
      <c r="H1" s="30"/>
    </row>
    <row r="2" spans="1:8">
      <c r="A2" s="45" t="s">
        <v>23</v>
      </c>
      <c r="B2" s="46" t="s">
        <v>24</v>
      </c>
      <c r="C2" s="9" t="s">
        <v>25</v>
      </c>
      <c r="D2" s="9"/>
      <c r="E2" s="9"/>
      <c r="F2" s="9"/>
      <c r="G2" s="9"/>
      <c r="H2" s="9"/>
    </row>
    <row r="3" ht="49.5" spans="1:8">
      <c r="A3" s="45"/>
      <c r="B3" s="9" t="s">
        <v>26</v>
      </c>
      <c r="C3" s="9" t="s">
        <v>27</v>
      </c>
      <c r="D3" s="9"/>
      <c r="E3" s="9"/>
      <c r="F3" s="9"/>
      <c r="G3" s="9"/>
      <c r="H3" s="9"/>
    </row>
    <row r="4" spans="1:8">
      <c r="A4" s="45"/>
      <c r="B4" s="9" t="s">
        <v>28</v>
      </c>
      <c r="C4" s="9" t="s">
        <v>29</v>
      </c>
      <c r="D4" s="9"/>
      <c r="E4" s="9"/>
      <c r="F4" s="9"/>
      <c r="G4" s="9"/>
      <c r="H4" s="9"/>
    </row>
    <row r="5" ht="33" spans="1:8">
      <c r="A5" s="45"/>
      <c r="B5" s="9" t="s">
        <v>30</v>
      </c>
      <c r="C5" s="9" t="s">
        <v>31</v>
      </c>
      <c r="D5" s="9"/>
      <c r="E5" s="9"/>
      <c r="F5" s="9"/>
      <c r="G5" s="9"/>
      <c r="H5" s="9"/>
    </row>
    <row r="6" spans="1:8">
      <c r="A6" s="45"/>
      <c r="B6" s="9" t="s">
        <v>32</v>
      </c>
      <c r="C6" s="9" t="s">
        <v>33</v>
      </c>
      <c r="D6" s="9"/>
      <c r="E6" s="9"/>
      <c r="F6" s="9"/>
      <c r="G6" s="9"/>
      <c r="H6" s="9"/>
    </row>
    <row r="7" spans="1:8">
      <c r="A7" s="45"/>
      <c r="B7" s="9" t="s">
        <v>34</v>
      </c>
      <c r="C7" s="9" t="s">
        <v>35</v>
      </c>
      <c r="D7" s="9"/>
      <c r="E7" s="9"/>
      <c r="F7" s="9"/>
      <c r="G7" s="9"/>
      <c r="H7" s="9"/>
    </row>
    <row r="8" ht="33" spans="1:8">
      <c r="A8" s="45"/>
      <c r="B8" s="9" t="s">
        <v>34</v>
      </c>
      <c r="C8" s="9" t="s">
        <v>36</v>
      </c>
      <c r="D8" s="9"/>
      <c r="E8" s="9"/>
      <c r="F8" s="9"/>
      <c r="G8" s="9"/>
      <c r="H8" s="9"/>
    </row>
    <row r="9" spans="1:8">
      <c r="A9" s="45"/>
      <c r="B9" s="9" t="s">
        <v>37</v>
      </c>
      <c r="C9" s="9" t="s">
        <v>38</v>
      </c>
      <c r="D9" s="9"/>
      <c r="E9" s="9"/>
      <c r="F9" s="9"/>
      <c r="G9" s="9"/>
      <c r="H9" s="9"/>
    </row>
    <row r="10" ht="33" spans="1:8">
      <c r="A10" s="45"/>
      <c r="B10" s="9" t="s">
        <v>39</v>
      </c>
      <c r="C10" s="9" t="s">
        <v>40</v>
      </c>
      <c r="D10" s="9"/>
      <c r="E10" s="9"/>
      <c r="F10" s="9"/>
      <c r="G10" s="9"/>
      <c r="H10" s="9"/>
    </row>
    <row r="11" ht="33" spans="1:8">
      <c r="A11" s="45" t="s">
        <v>41</v>
      </c>
      <c r="B11" s="9" t="s">
        <v>42</v>
      </c>
      <c r="C11" s="9" t="s">
        <v>43</v>
      </c>
      <c r="D11" s="9"/>
      <c r="E11" s="9"/>
      <c r="F11" s="9"/>
      <c r="G11" s="9"/>
      <c r="H11" s="9"/>
    </row>
    <row r="12" spans="1:8">
      <c r="A12" s="45"/>
      <c r="B12" s="9" t="s">
        <v>44</v>
      </c>
      <c r="C12" s="9" t="s">
        <v>45</v>
      </c>
      <c r="D12" s="9"/>
      <c r="E12" s="9"/>
      <c r="F12" s="9"/>
      <c r="G12" s="9"/>
      <c r="H12" s="9"/>
    </row>
    <row r="13" spans="1:8">
      <c r="A13" s="45"/>
      <c r="B13" s="9" t="s">
        <v>46</v>
      </c>
      <c r="C13" s="9" t="s">
        <v>47</v>
      </c>
      <c r="D13" s="9"/>
      <c r="E13" s="9"/>
      <c r="F13" s="9"/>
      <c r="G13" s="9"/>
      <c r="H13" s="9"/>
    </row>
    <row r="14" spans="1:8">
      <c r="A14" s="45" t="s">
        <v>48</v>
      </c>
      <c r="B14" s="9" t="s">
        <v>49</v>
      </c>
      <c r="C14" s="9" t="s">
        <v>50</v>
      </c>
      <c r="D14" s="9"/>
      <c r="E14" s="9"/>
      <c r="F14" s="9"/>
      <c r="G14" s="9"/>
      <c r="H14" s="9"/>
    </row>
    <row r="15" customHeight="1" spans="1:8">
      <c r="A15" s="45" t="s">
        <v>51</v>
      </c>
      <c r="B15" s="9" t="s">
        <v>52</v>
      </c>
      <c r="C15" s="9" t="s">
        <v>53</v>
      </c>
      <c r="D15" s="9"/>
      <c r="E15" s="9"/>
      <c r="F15" s="9"/>
      <c r="G15" s="9"/>
      <c r="H15" s="9"/>
    </row>
    <row r="16" spans="1:8">
      <c r="A16" s="45"/>
      <c r="B16" s="9" t="s">
        <v>54</v>
      </c>
      <c r="C16" s="9" t="s">
        <v>50</v>
      </c>
      <c r="D16" s="9"/>
      <c r="E16" s="9"/>
      <c r="F16" s="9"/>
      <c r="G16" s="9"/>
      <c r="H16" s="9"/>
    </row>
    <row r="17" spans="1:8">
      <c r="A17" s="47" t="s">
        <v>55</v>
      </c>
      <c r="B17" s="9" t="s">
        <v>56</v>
      </c>
      <c r="C17" s="9" t="s">
        <v>57</v>
      </c>
      <c r="D17" s="9"/>
      <c r="E17" s="9"/>
      <c r="F17" s="9"/>
      <c r="G17" s="9"/>
      <c r="H17" s="9"/>
    </row>
    <row r="18" spans="1:8">
      <c r="A18" s="47"/>
      <c r="B18" s="9" t="s">
        <v>58</v>
      </c>
      <c r="C18" s="9" t="s">
        <v>59</v>
      </c>
      <c r="D18" s="9"/>
      <c r="E18" s="9"/>
      <c r="F18" s="9"/>
      <c r="G18" s="9"/>
      <c r="H18" s="9"/>
    </row>
    <row r="19" spans="1:8">
      <c r="A19" s="47"/>
      <c r="B19" s="9" t="s">
        <v>60</v>
      </c>
      <c r="C19" s="9" t="s">
        <v>61</v>
      </c>
      <c r="D19" s="9"/>
      <c r="E19" s="9"/>
      <c r="F19" s="9"/>
      <c r="G19" s="9"/>
      <c r="H19" s="9"/>
    </row>
    <row r="20" spans="1:8">
      <c r="A20" s="47" t="s">
        <v>62</v>
      </c>
      <c r="B20" s="9" t="s">
        <v>63</v>
      </c>
      <c r="C20" s="9" t="s">
        <v>64</v>
      </c>
      <c r="D20" s="9"/>
      <c r="E20" s="9"/>
      <c r="F20" s="9"/>
      <c r="G20" s="9"/>
      <c r="H20" s="9"/>
    </row>
    <row r="21" spans="1:3">
      <c r="A21" s="47"/>
      <c r="B21" s="9" t="s">
        <v>65</v>
      </c>
      <c r="C21" s="44" t="s">
        <v>66</v>
      </c>
    </row>
  </sheetData>
  <mergeCells count="5">
    <mergeCell ref="A2:A10"/>
    <mergeCell ref="A11:A13"/>
    <mergeCell ref="A15:A16"/>
    <mergeCell ref="A17:A19"/>
    <mergeCell ref="A20:A2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opLeftCell="C1" workbookViewId="0">
      <selection activeCell="C1" sqref="$A1:$XFD1"/>
    </sheetView>
  </sheetViews>
  <sheetFormatPr defaultColWidth="9" defaultRowHeight="13.5"/>
  <cols>
    <col min="1" max="1" width="16" customWidth="1"/>
    <col min="2" max="2" width="20.125" customWidth="1"/>
    <col min="3" max="3" width="27.625" customWidth="1"/>
    <col min="4" max="4" width="12" style="28" customWidth="1"/>
    <col min="5" max="5" width="24.75" customWidth="1"/>
    <col min="6" max="6" width="10.625" style="28" customWidth="1"/>
    <col min="7" max="7" width="26.625" customWidth="1"/>
    <col min="8" max="8" width="10.75" style="28" customWidth="1"/>
    <col min="9" max="9" width="9" style="28"/>
    <col min="10" max="10" width="22" style="8" customWidth="1"/>
    <col min="11" max="11" width="12" style="28" customWidth="1"/>
    <col min="12" max="12" width="10.625" style="28" customWidth="1"/>
    <col min="13" max="13" width="10.75" style="28" customWidth="1"/>
    <col min="14" max="14" width="15.25" customWidth="1"/>
  </cols>
  <sheetData>
    <row r="1" ht="30" spans="1:14">
      <c r="A1" s="29" t="s">
        <v>20</v>
      </c>
      <c r="B1" s="30" t="s">
        <v>21</v>
      </c>
      <c r="C1" s="30" t="s">
        <v>22</v>
      </c>
      <c r="D1" s="31" t="s">
        <v>67</v>
      </c>
      <c r="E1" s="30" t="s">
        <v>68</v>
      </c>
      <c r="F1" s="31" t="s">
        <v>69</v>
      </c>
      <c r="G1" s="30" t="s">
        <v>70</v>
      </c>
      <c r="H1" s="31" t="s">
        <v>71</v>
      </c>
      <c r="I1" s="35" t="s">
        <v>72</v>
      </c>
      <c r="J1" s="30" t="s">
        <v>73</v>
      </c>
      <c r="K1" s="31" t="s">
        <v>67</v>
      </c>
      <c r="L1" s="31" t="s">
        <v>69</v>
      </c>
      <c r="M1" s="31" t="s">
        <v>71</v>
      </c>
      <c r="N1" s="6" t="s">
        <v>74</v>
      </c>
    </row>
    <row r="2" s="27" customFormat="1" ht="40.5" spans="1:15">
      <c r="A2" s="32" t="s">
        <v>23</v>
      </c>
      <c r="B2" s="33" t="s">
        <v>24</v>
      </c>
      <c r="C2" s="33" t="s">
        <v>25</v>
      </c>
      <c r="D2" s="13">
        <v>10</v>
      </c>
      <c r="E2" s="33" t="s">
        <v>75</v>
      </c>
      <c r="F2" s="13">
        <v>9</v>
      </c>
      <c r="G2" s="33" t="s">
        <v>76</v>
      </c>
      <c r="H2" s="13">
        <v>9</v>
      </c>
      <c r="I2" s="23">
        <f>D2*F2*H2</f>
        <v>810</v>
      </c>
      <c r="J2" s="18" t="s">
        <v>77</v>
      </c>
      <c r="K2" s="24">
        <v>10</v>
      </c>
      <c r="L2" s="24">
        <v>9</v>
      </c>
      <c r="M2" s="36">
        <v>2</v>
      </c>
      <c r="N2" s="27">
        <v>180</v>
      </c>
      <c r="O2" s="37"/>
    </row>
    <row r="3" ht="33" spans="1:14">
      <c r="A3" s="22"/>
      <c r="B3" s="15" t="s">
        <v>26</v>
      </c>
      <c r="C3" s="15" t="s">
        <v>27</v>
      </c>
      <c r="D3" s="34">
        <v>7</v>
      </c>
      <c r="E3" s="15" t="s">
        <v>78</v>
      </c>
      <c r="F3" s="34">
        <v>7</v>
      </c>
      <c r="G3" s="15" t="s">
        <v>79</v>
      </c>
      <c r="H3" s="34">
        <v>7</v>
      </c>
      <c r="I3" s="38">
        <f>D3*F3*H3</f>
        <v>343</v>
      </c>
      <c r="J3" s="16"/>
      <c r="K3" s="39">
        <v>7</v>
      </c>
      <c r="L3" s="39">
        <v>7</v>
      </c>
      <c r="M3" s="40"/>
      <c r="N3" s="26"/>
    </row>
    <row r="4" ht="16.5" spans="1:14">
      <c r="A4" s="22"/>
      <c r="B4" s="15" t="s">
        <v>28</v>
      </c>
      <c r="C4" s="15" t="s">
        <v>29</v>
      </c>
      <c r="D4" s="34">
        <v>8</v>
      </c>
      <c r="E4" s="15" t="s">
        <v>80</v>
      </c>
      <c r="F4" s="34">
        <v>8</v>
      </c>
      <c r="G4" s="15" t="s">
        <v>81</v>
      </c>
      <c r="H4" s="34">
        <v>5</v>
      </c>
      <c r="I4" s="38">
        <f t="shared" ref="I3:I10" si="0">D4*F4*H4</f>
        <v>320</v>
      </c>
      <c r="J4" s="16"/>
      <c r="K4" s="39">
        <v>8</v>
      </c>
      <c r="L4" s="39">
        <v>8</v>
      </c>
      <c r="M4" s="40"/>
      <c r="N4" s="26"/>
    </row>
    <row r="5" ht="16.5" spans="1:14">
      <c r="A5" s="22"/>
      <c r="B5" s="15" t="s">
        <v>30</v>
      </c>
      <c r="C5" s="15" t="s">
        <v>31</v>
      </c>
      <c r="D5" s="34">
        <v>4</v>
      </c>
      <c r="E5" s="15" t="s">
        <v>82</v>
      </c>
      <c r="F5" s="34">
        <v>4</v>
      </c>
      <c r="G5" s="15" t="s">
        <v>83</v>
      </c>
      <c r="H5" s="34">
        <v>0</v>
      </c>
      <c r="I5" s="38">
        <f t="shared" si="0"/>
        <v>0</v>
      </c>
      <c r="J5" s="15"/>
      <c r="K5" s="39">
        <v>4</v>
      </c>
      <c r="L5" s="39">
        <v>4</v>
      </c>
      <c r="M5" s="40"/>
      <c r="N5" s="26"/>
    </row>
    <row r="6" ht="33" spans="1:14">
      <c r="A6" s="22"/>
      <c r="B6" s="15" t="s">
        <v>32</v>
      </c>
      <c r="C6" s="15" t="s">
        <v>33</v>
      </c>
      <c r="D6" s="34">
        <v>8</v>
      </c>
      <c r="E6" s="15" t="s">
        <v>84</v>
      </c>
      <c r="F6" s="34">
        <v>8</v>
      </c>
      <c r="G6" s="15" t="s">
        <v>85</v>
      </c>
      <c r="H6" s="34">
        <v>8</v>
      </c>
      <c r="I6" s="38">
        <f t="shared" si="0"/>
        <v>512</v>
      </c>
      <c r="J6" s="15"/>
      <c r="K6" s="39">
        <v>8</v>
      </c>
      <c r="L6" s="39">
        <v>8</v>
      </c>
      <c r="M6" s="40"/>
      <c r="N6" s="26"/>
    </row>
    <row r="7" ht="16.5" spans="1:14">
      <c r="A7" s="22"/>
      <c r="B7" s="15" t="s">
        <v>34</v>
      </c>
      <c r="C7" s="15" t="s">
        <v>35</v>
      </c>
      <c r="D7" s="34">
        <v>4</v>
      </c>
      <c r="E7" s="15" t="s">
        <v>86</v>
      </c>
      <c r="F7" s="34">
        <v>4</v>
      </c>
      <c r="G7" s="15" t="s">
        <v>83</v>
      </c>
      <c r="H7" s="34">
        <v>0</v>
      </c>
      <c r="I7" s="38">
        <f t="shared" si="0"/>
        <v>0</v>
      </c>
      <c r="J7" s="16"/>
      <c r="K7" s="39">
        <v>4</v>
      </c>
      <c r="L7" s="39">
        <v>4</v>
      </c>
      <c r="M7" s="40"/>
      <c r="N7" s="26"/>
    </row>
    <row r="8" ht="33" spans="1:14">
      <c r="A8" s="22"/>
      <c r="B8" s="15" t="s">
        <v>34</v>
      </c>
      <c r="C8" s="15" t="s">
        <v>36</v>
      </c>
      <c r="D8" s="34">
        <v>7</v>
      </c>
      <c r="E8" s="15" t="s">
        <v>87</v>
      </c>
      <c r="F8" s="34">
        <v>6</v>
      </c>
      <c r="G8" s="15" t="s">
        <v>88</v>
      </c>
      <c r="H8" s="34">
        <v>4</v>
      </c>
      <c r="I8" s="38">
        <f t="shared" si="0"/>
        <v>168</v>
      </c>
      <c r="J8" s="16"/>
      <c r="K8" s="39">
        <v>7</v>
      </c>
      <c r="L8" s="39">
        <v>6</v>
      </c>
      <c r="M8" s="40"/>
      <c r="N8" s="26"/>
    </row>
    <row r="9" ht="33" spans="1:14">
      <c r="A9" s="22"/>
      <c r="B9" s="15" t="s">
        <v>37</v>
      </c>
      <c r="C9" s="15" t="s">
        <v>38</v>
      </c>
      <c r="D9" s="34">
        <v>6</v>
      </c>
      <c r="E9" s="15" t="s">
        <v>89</v>
      </c>
      <c r="F9" s="34">
        <v>6</v>
      </c>
      <c r="G9" s="15" t="s">
        <v>90</v>
      </c>
      <c r="H9" s="34">
        <v>3</v>
      </c>
      <c r="I9" s="38">
        <f t="shared" si="0"/>
        <v>108</v>
      </c>
      <c r="J9" s="16"/>
      <c r="K9" s="39">
        <v>6</v>
      </c>
      <c r="L9" s="39">
        <v>6</v>
      </c>
      <c r="M9" s="40"/>
      <c r="N9" s="26"/>
    </row>
    <row r="10" ht="33" spans="1:14">
      <c r="A10" s="22"/>
      <c r="B10" s="15" t="s">
        <v>91</v>
      </c>
      <c r="C10" s="15" t="s">
        <v>40</v>
      </c>
      <c r="D10" s="34">
        <v>5</v>
      </c>
      <c r="E10" s="15" t="s">
        <v>92</v>
      </c>
      <c r="F10" s="34">
        <v>5</v>
      </c>
      <c r="G10" s="15" t="s">
        <v>93</v>
      </c>
      <c r="H10" s="34">
        <v>4</v>
      </c>
      <c r="I10" s="38">
        <f t="shared" si="0"/>
        <v>100</v>
      </c>
      <c r="J10" s="16"/>
      <c r="K10" s="39">
        <v>5</v>
      </c>
      <c r="L10" s="39">
        <v>5</v>
      </c>
      <c r="M10" s="40"/>
      <c r="N10" s="26"/>
    </row>
    <row r="11" spans="9:9">
      <c r="I11" s="41"/>
    </row>
    <row r="12" spans="9:9">
      <c r="I12" s="41"/>
    </row>
  </sheetData>
  <autoFilter ref="I1:I10">
    <extLst/>
  </autoFilter>
  <mergeCells count="1">
    <mergeCell ref="A2:A10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J14" sqref="J14"/>
    </sheetView>
  </sheetViews>
  <sheetFormatPr defaultColWidth="9" defaultRowHeight="13.5"/>
  <cols>
    <col min="1" max="1" width="16" customWidth="1"/>
    <col min="2" max="2" width="20.125" customWidth="1"/>
    <col min="3" max="3" width="27.625" customWidth="1"/>
    <col min="4" max="4" width="12" customWidth="1"/>
    <col min="5" max="5" width="24.75" customWidth="1"/>
    <col min="6" max="6" width="10.625" customWidth="1"/>
    <col min="7" max="7" width="26.625" customWidth="1"/>
    <col min="8" max="8" width="10.75" customWidth="1"/>
    <col min="10" max="10" width="21.375" customWidth="1"/>
    <col min="11" max="11" width="12" customWidth="1"/>
    <col min="12" max="12" width="10.625" customWidth="1"/>
    <col min="13" max="13" width="10.75" customWidth="1"/>
    <col min="14" max="14" width="16.5" customWidth="1"/>
  </cols>
  <sheetData>
    <row r="1" ht="30" spans="1:14">
      <c r="A1" s="10" t="s">
        <v>20</v>
      </c>
      <c r="B1" s="11" t="s">
        <v>21</v>
      </c>
      <c r="C1" s="11" t="s">
        <v>22</v>
      </c>
      <c r="D1" s="6" t="s">
        <v>67</v>
      </c>
      <c r="E1" s="11" t="s">
        <v>68</v>
      </c>
      <c r="F1" s="6" t="s">
        <v>94</v>
      </c>
      <c r="G1" s="11" t="s">
        <v>70</v>
      </c>
      <c r="H1" s="6" t="s">
        <v>95</v>
      </c>
      <c r="I1" s="17" t="s">
        <v>72</v>
      </c>
      <c r="J1" s="11" t="s">
        <v>73</v>
      </c>
      <c r="K1" s="6" t="s">
        <v>67</v>
      </c>
      <c r="L1" s="6" t="s">
        <v>94</v>
      </c>
      <c r="M1" s="6" t="s">
        <v>95</v>
      </c>
      <c r="N1" s="17" t="s">
        <v>96</v>
      </c>
    </row>
    <row r="2" s="20" customFormat="1" ht="33" spans="1:14">
      <c r="A2" s="21" t="s">
        <v>41</v>
      </c>
      <c r="B2" s="13" t="s">
        <v>42</v>
      </c>
      <c r="C2" s="13" t="s">
        <v>43</v>
      </c>
      <c r="D2" s="13">
        <v>10</v>
      </c>
      <c r="E2" s="13" t="s">
        <v>97</v>
      </c>
      <c r="F2" s="13">
        <v>10</v>
      </c>
      <c r="G2" s="13" t="s">
        <v>98</v>
      </c>
      <c r="H2" s="13">
        <v>8</v>
      </c>
      <c r="I2" s="23">
        <f>D2*F2*H2</f>
        <v>800</v>
      </c>
      <c r="J2" s="24" t="s">
        <v>99</v>
      </c>
      <c r="K2" s="13">
        <v>10</v>
      </c>
      <c r="L2" s="13">
        <v>10</v>
      </c>
      <c r="M2" s="13">
        <v>1</v>
      </c>
      <c r="N2" s="24">
        <v>100</v>
      </c>
    </row>
    <row r="3" ht="33" spans="1:14">
      <c r="A3" s="22"/>
      <c r="B3" s="15" t="s">
        <v>44</v>
      </c>
      <c r="C3" s="15" t="s">
        <v>45</v>
      </c>
      <c r="D3" s="15">
        <v>10</v>
      </c>
      <c r="E3" s="15" t="s">
        <v>100</v>
      </c>
      <c r="F3" s="15">
        <v>6</v>
      </c>
      <c r="G3" s="15" t="s">
        <v>101</v>
      </c>
      <c r="H3" s="15">
        <v>8</v>
      </c>
      <c r="I3" s="25">
        <f t="shared" ref="I3:I7" si="0">D3*F3*H3</f>
        <v>480</v>
      </c>
      <c r="J3" s="26"/>
      <c r="K3" s="15">
        <v>10</v>
      </c>
      <c r="L3" s="15">
        <v>6</v>
      </c>
      <c r="M3" s="15"/>
      <c r="N3" s="26"/>
    </row>
    <row r="4" ht="33" spans="1:14">
      <c r="A4" s="22"/>
      <c r="B4" s="15" t="s">
        <v>46</v>
      </c>
      <c r="C4" s="15" t="s">
        <v>47</v>
      </c>
      <c r="D4" s="15">
        <v>6</v>
      </c>
      <c r="E4" s="15" t="s">
        <v>102</v>
      </c>
      <c r="F4" s="15">
        <v>6</v>
      </c>
      <c r="G4" s="15" t="s">
        <v>103</v>
      </c>
      <c r="H4" s="15">
        <v>5</v>
      </c>
      <c r="I4" s="25">
        <f t="shared" si="0"/>
        <v>180</v>
      </c>
      <c r="J4" s="26"/>
      <c r="K4" s="15">
        <v>6</v>
      </c>
      <c r="L4" s="15">
        <v>6</v>
      </c>
      <c r="M4" s="15"/>
      <c r="N4" s="26"/>
    </row>
    <row r="5" ht="33" spans="1:14">
      <c r="A5" s="22" t="s">
        <v>48</v>
      </c>
      <c r="B5" s="15" t="s">
        <v>49</v>
      </c>
      <c r="C5" s="15" t="s">
        <v>50</v>
      </c>
      <c r="D5" s="15">
        <v>6</v>
      </c>
      <c r="E5" s="15" t="s">
        <v>104</v>
      </c>
      <c r="F5" s="15">
        <v>6</v>
      </c>
      <c r="G5" s="15" t="s">
        <v>105</v>
      </c>
      <c r="H5" s="15">
        <v>3</v>
      </c>
      <c r="I5" s="25">
        <f t="shared" si="0"/>
        <v>108</v>
      </c>
      <c r="J5" s="25"/>
      <c r="K5" s="15">
        <v>6</v>
      </c>
      <c r="L5" s="15">
        <v>6</v>
      </c>
      <c r="M5" s="15"/>
      <c r="N5" s="25"/>
    </row>
    <row r="6" ht="16.5" spans="1:14">
      <c r="A6" s="22" t="s">
        <v>51</v>
      </c>
      <c r="B6" s="15" t="s">
        <v>52</v>
      </c>
      <c r="C6" s="15" t="s">
        <v>53</v>
      </c>
      <c r="D6" s="15">
        <v>5</v>
      </c>
      <c r="E6" s="15" t="s">
        <v>106</v>
      </c>
      <c r="F6" s="15">
        <v>3</v>
      </c>
      <c r="G6" s="15" t="s">
        <v>107</v>
      </c>
      <c r="H6" s="15">
        <v>2</v>
      </c>
      <c r="I6" s="25">
        <f t="shared" si="0"/>
        <v>30</v>
      </c>
      <c r="J6" s="25"/>
      <c r="K6" s="15">
        <v>5</v>
      </c>
      <c r="L6" s="15">
        <v>3</v>
      </c>
      <c r="M6" s="15"/>
      <c r="N6" s="25"/>
    </row>
    <row r="7" ht="16.5" spans="1:14">
      <c r="A7" s="22"/>
      <c r="B7" s="15" t="s">
        <v>54</v>
      </c>
      <c r="C7" s="15" t="s">
        <v>50</v>
      </c>
      <c r="D7" s="15">
        <v>5</v>
      </c>
      <c r="E7" s="15" t="s">
        <v>108</v>
      </c>
      <c r="F7" s="15">
        <v>3</v>
      </c>
      <c r="G7" s="15" t="s">
        <v>107</v>
      </c>
      <c r="H7" s="15">
        <v>2</v>
      </c>
      <c r="I7" s="25">
        <f t="shared" si="0"/>
        <v>30</v>
      </c>
      <c r="J7" s="26"/>
      <c r="K7" s="15">
        <v>5</v>
      </c>
      <c r="L7" s="15">
        <v>3</v>
      </c>
      <c r="M7" s="15"/>
      <c r="N7" s="26"/>
    </row>
    <row r="8" spans="13:13">
      <c r="M8" s="8"/>
    </row>
    <row r="9" spans="13:13">
      <c r="M9" s="8"/>
    </row>
    <row r="10" spans="13:13">
      <c r="M10" s="8"/>
    </row>
  </sheetData>
  <mergeCells count="2">
    <mergeCell ref="A2:A4"/>
    <mergeCell ref="A6:A7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E36" sqref="E36"/>
    </sheetView>
  </sheetViews>
  <sheetFormatPr defaultColWidth="9" defaultRowHeight="13.5"/>
  <cols>
    <col min="1" max="1" width="16" customWidth="1"/>
    <col min="2" max="2" width="20.125" customWidth="1"/>
    <col min="3" max="3" width="27.625" customWidth="1"/>
    <col min="4" max="4" width="12" customWidth="1"/>
    <col min="5" max="5" width="24.75" customWidth="1"/>
    <col min="6" max="6" width="10.625" customWidth="1"/>
    <col min="7" max="7" width="26.625" customWidth="1"/>
    <col min="8" max="8" width="10.75" customWidth="1"/>
    <col min="10" max="10" width="21.125" customWidth="1"/>
    <col min="11" max="11" width="12" customWidth="1"/>
    <col min="12" max="12" width="10.625" customWidth="1"/>
    <col min="13" max="13" width="10.75" customWidth="1"/>
    <col min="14" max="14" width="15.5" customWidth="1"/>
  </cols>
  <sheetData>
    <row r="1" ht="30" spans="1:14">
      <c r="A1" s="10" t="s">
        <v>20</v>
      </c>
      <c r="B1" s="11" t="s">
        <v>21</v>
      </c>
      <c r="C1" s="11" t="s">
        <v>22</v>
      </c>
      <c r="D1" s="6" t="s">
        <v>67</v>
      </c>
      <c r="E1" s="11" t="s">
        <v>68</v>
      </c>
      <c r="F1" s="6" t="s">
        <v>94</v>
      </c>
      <c r="G1" s="11" t="s">
        <v>70</v>
      </c>
      <c r="H1" s="6" t="s">
        <v>95</v>
      </c>
      <c r="I1" s="17" t="s">
        <v>72</v>
      </c>
      <c r="J1" s="11" t="s">
        <v>73</v>
      </c>
      <c r="K1" s="6" t="s">
        <v>67</v>
      </c>
      <c r="L1" s="6" t="s">
        <v>94</v>
      </c>
      <c r="M1" s="6" t="s">
        <v>95</v>
      </c>
      <c r="N1" s="17" t="s">
        <v>96</v>
      </c>
    </row>
    <row r="2" s="7" customFormat="1" ht="27" spans="1:14">
      <c r="A2" s="12" t="s">
        <v>55</v>
      </c>
      <c r="B2" s="13" t="s">
        <v>56</v>
      </c>
      <c r="C2" s="13" t="s">
        <v>57</v>
      </c>
      <c r="D2" s="13">
        <v>9</v>
      </c>
      <c r="E2" s="13" t="s">
        <v>109</v>
      </c>
      <c r="F2" s="13">
        <v>9</v>
      </c>
      <c r="G2" s="13" t="s">
        <v>110</v>
      </c>
      <c r="H2" s="13">
        <v>8</v>
      </c>
      <c r="I2" s="13">
        <f t="shared" ref="I2:I6" si="0">D2*F2*H2</f>
        <v>648</v>
      </c>
      <c r="J2" s="18" t="s">
        <v>111</v>
      </c>
      <c r="K2" s="13">
        <v>9</v>
      </c>
      <c r="L2" s="13">
        <v>9</v>
      </c>
      <c r="M2" s="13">
        <v>1</v>
      </c>
      <c r="N2" s="18">
        <v>81</v>
      </c>
    </row>
    <row r="3" s="8" customFormat="1" ht="16.5" spans="1:14">
      <c r="A3" s="14"/>
      <c r="B3" s="15" t="s">
        <v>58</v>
      </c>
      <c r="C3" s="15" t="s">
        <v>59</v>
      </c>
      <c r="D3" s="15">
        <v>0</v>
      </c>
      <c r="E3" s="15" t="s">
        <v>112</v>
      </c>
      <c r="F3" s="15">
        <v>6</v>
      </c>
      <c r="G3" s="15" t="s">
        <v>113</v>
      </c>
      <c r="H3" s="15">
        <v>6</v>
      </c>
      <c r="I3" s="19">
        <f t="shared" si="0"/>
        <v>0</v>
      </c>
      <c r="J3" s="16"/>
      <c r="K3" s="15">
        <v>0</v>
      </c>
      <c r="L3" s="15">
        <v>6</v>
      </c>
      <c r="M3" s="15"/>
      <c r="N3" s="16"/>
    </row>
    <row r="4" s="8" customFormat="1" ht="16.5" spans="1:14">
      <c r="A4" s="14"/>
      <c r="B4" s="15" t="s">
        <v>60</v>
      </c>
      <c r="C4" s="15" t="s">
        <v>61</v>
      </c>
      <c r="D4" s="16">
        <v>6</v>
      </c>
      <c r="E4" s="16" t="s">
        <v>114</v>
      </c>
      <c r="F4" s="16">
        <v>6</v>
      </c>
      <c r="G4" s="16" t="s">
        <v>115</v>
      </c>
      <c r="H4" s="16">
        <v>7</v>
      </c>
      <c r="I4" s="19">
        <f t="shared" si="0"/>
        <v>252</v>
      </c>
      <c r="J4" s="16"/>
      <c r="K4" s="16">
        <v>6</v>
      </c>
      <c r="L4" s="16">
        <v>6</v>
      </c>
      <c r="M4" s="16"/>
      <c r="N4" s="16"/>
    </row>
    <row r="5" s="9" customFormat="1" ht="16.5" spans="1:14">
      <c r="A5" s="14" t="s">
        <v>62</v>
      </c>
      <c r="B5" s="15" t="s">
        <v>63</v>
      </c>
      <c r="C5" s="15" t="s">
        <v>64</v>
      </c>
      <c r="D5" s="15">
        <v>9</v>
      </c>
      <c r="E5" s="15" t="s">
        <v>116</v>
      </c>
      <c r="F5" s="15">
        <v>6</v>
      </c>
      <c r="G5" s="15" t="s">
        <v>113</v>
      </c>
      <c r="H5" s="15">
        <v>8</v>
      </c>
      <c r="I5" s="19">
        <f t="shared" si="0"/>
        <v>432</v>
      </c>
      <c r="J5" s="15"/>
      <c r="K5" s="15">
        <v>9</v>
      </c>
      <c r="L5" s="15">
        <v>6</v>
      </c>
      <c r="M5" s="15"/>
      <c r="N5" s="15"/>
    </row>
    <row r="6" s="9" customFormat="1" ht="16.5" spans="1:14">
      <c r="A6" s="14"/>
      <c r="B6" s="15" t="s">
        <v>65</v>
      </c>
      <c r="C6" s="15" t="s">
        <v>66</v>
      </c>
      <c r="D6" s="15">
        <v>3</v>
      </c>
      <c r="E6" s="15" t="s">
        <v>114</v>
      </c>
      <c r="F6" s="15">
        <v>4</v>
      </c>
      <c r="G6" s="15" t="s">
        <v>113</v>
      </c>
      <c r="H6" s="15">
        <v>3</v>
      </c>
      <c r="I6" s="19">
        <f t="shared" si="0"/>
        <v>36</v>
      </c>
      <c r="J6" s="15"/>
      <c r="K6" s="15">
        <v>3</v>
      </c>
      <c r="L6" s="15">
        <v>4</v>
      </c>
      <c r="M6" s="15"/>
      <c r="N6" s="15"/>
    </row>
    <row r="7" s="8" customFormat="1"/>
    <row r="8" s="8" customFormat="1"/>
    <row r="9" s="8" customFormat="1"/>
    <row r="10" s="8" customFormat="1"/>
    <row r="11" s="8" customFormat="1"/>
    <row r="12" s="8" customFormat="1"/>
    <row r="13" s="8" customFormat="1"/>
  </sheetData>
  <mergeCells count="2">
    <mergeCell ref="A2:A4"/>
    <mergeCell ref="A5:A6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G18" sqref="G18"/>
    </sheetView>
  </sheetViews>
  <sheetFormatPr defaultColWidth="9" defaultRowHeight="13.5" outlineLevelRow="6"/>
  <cols>
    <col min="4" max="4" width="14.125" customWidth="1"/>
    <col min="6" max="6" width="11.875" customWidth="1"/>
    <col min="8" max="8" width="12.375" customWidth="1"/>
    <col min="11" max="11" width="13.625" customWidth="1"/>
  </cols>
  <sheetData>
    <row r="1" ht="45" spans="1:14">
      <c r="A1" s="1" t="s">
        <v>20</v>
      </c>
      <c r="B1" s="2" t="s">
        <v>21</v>
      </c>
      <c r="C1" s="2" t="s">
        <v>22</v>
      </c>
      <c r="D1" s="3" t="s">
        <v>67</v>
      </c>
      <c r="E1" s="2" t="s">
        <v>68</v>
      </c>
      <c r="F1" s="3" t="s">
        <v>69</v>
      </c>
      <c r="G1" s="2" t="s">
        <v>70</v>
      </c>
      <c r="H1" s="3" t="s">
        <v>71</v>
      </c>
      <c r="I1" s="5" t="s">
        <v>72</v>
      </c>
      <c r="J1" s="2" t="s">
        <v>73</v>
      </c>
      <c r="K1" s="3" t="s">
        <v>67</v>
      </c>
      <c r="L1" s="3" t="s">
        <v>69</v>
      </c>
      <c r="M1" s="3" t="s">
        <v>71</v>
      </c>
      <c r="N1" s="6" t="s">
        <v>74</v>
      </c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流程说明</vt:lpstr>
      <vt:lpstr>故障模式库</vt:lpstr>
      <vt:lpstr>KVM数据备份评审</vt:lpstr>
      <vt:lpstr>数据恢复评审</vt:lpstr>
      <vt:lpstr>容灾接管评审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zhou.danting</cp:lastModifiedBy>
  <dcterms:created xsi:type="dcterms:W3CDTF">2006-09-16T00:00:00Z</dcterms:created>
  <dcterms:modified xsi:type="dcterms:W3CDTF">2019-01-24T10:31:57Z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